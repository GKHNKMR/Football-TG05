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İş Listesi" sheetId="1" state="visible" r:id="rId1"/>
    <sheet name="Özet" sheetId="2" state="visible" r:id="rId2"/>
  </sheets>
  <definedNames>
    <definedName name="_xlnm._FilterDatabase" localSheetId="0" hidden="1">'İş Listesi'!$A$4:$K$17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34" customWidth="1" min="3" max="3"/>
    <col width="62" customWidth="1" min="4" max="4"/>
    <col width="20" customWidth="1" min="5" max="5"/>
    <col width="10" customWidth="1" min="6" max="6"/>
    <col width="8" customWidth="1" min="7" max="7"/>
    <col width="12" customWidth="1" min="8" max="8"/>
    <col width="14" customWidth="1" min="9" max="9"/>
    <col width="12" customWidth="1" min="10" max="10"/>
    <col width="28" customWidth="1" min="11" max="11"/>
  </cols>
  <sheetData>
    <row r="1">
      <c r="A1" s="1" t="inlineStr">
        <is>
          <t>BETAVUS İş Listesi</t>
        </is>
      </c>
    </row>
    <row r="2" ht="30" customHeight="1">
      <c r="A2" s="2" t="inlineStr">
        <is>
          <t>Sıra: önce Faz 1 (teknik veri doğruluğu), sonra Faz 2 (arayüz). Durum, Öncelik, Sorumlu, Hedef Tarih ve Not sütunları doldurulmak içindir. "Öneri" durumundaki satırlar ekip listesinde yoktu; onay bekliyor.</t>
        </is>
      </c>
    </row>
    <row r="4">
      <c r="A4" s="3" t="inlineStr">
        <is>
          <t>No</t>
        </is>
      </c>
      <c r="B4" s="3" t="inlineStr">
        <is>
          <t>Segment</t>
        </is>
      </c>
      <c r="C4" s="3" t="inlineStr">
        <is>
          <t>Başlık</t>
        </is>
      </c>
      <c r="D4" s="3" t="inlineStr">
        <is>
          <t>Açıklama / Kapsam</t>
        </is>
      </c>
      <c r="E4" s="3" t="inlineStr">
        <is>
          <t>Kaynak</t>
        </is>
      </c>
      <c r="F4" s="3" t="inlineStr">
        <is>
          <t>Öncelik</t>
        </is>
      </c>
      <c r="G4" s="3" t="inlineStr">
        <is>
          <t>Faz</t>
        </is>
      </c>
      <c r="H4" s="3" t="inlineStr">
        <is>
          <t>Durum</t>
        </is>
      </c>
      <c r="I4" s="3" t="inlineStr">
        <is>
          <t>Sorumlu</t>
        </is>
      </c>
      <c r="J4" s="3" t="inlineStr">
        <is>
          <t>Hedef Tarih</t>
        </is>
      </c>
      <c r="K4" s="3" t="inlineStr">
        <is>
          <t>Not</t>
        </is>
      </c>
    </row>
    <row r="5">
      <c r="A5" s="4" t="n">
        <v>1</v>
      </c>
      <c r="B5" s="5" t="inlineStr">
        <is>
          <t>1 - Teknik: Veri Doğruluğu</t>
        </is>
      </c>
      <c r="C5" s="6" t="inlineStr">
        <is>
          <t>Sanal Kasa: mental kontrol mekanizması + cashout stratejisi</t>
        </is>
      </c>
      <c r="D5" s="7" t="inlineStr">
        <is>
          <t>Günlük kayıp limiti / stop-loss, üst üste kayıpta uyarı ve bekleme süresi (tilt koruması), hedefe yaklaşınca kısmi kâr çekme (cashout) kuralları. Hesaplama js/paper_engine.js'e, gösterim Sanal Kasa ekranına.</t>
        </is>
      </c>
      <c r="E5" s="7" t="inlineStr">
        <is>
          <t>Ekip listesi (Gökhan)</t>
        </is>
      </c>
      <c r="F5" s="4" t="inlineStr">
        <is>
          <t>Yüksek</t>
        </is>
      </c>
      <c r="G5" s="4" t="inlineStr">
        <is>
          <t>Faz 1</t>
        </is>
      </c>
      <c r="H5" s="4" t="inlineStr">
        <is>
          <t>Açık</t>
        </is>
      </c>
      <c r="I5" s="7" t="inlineStr"/>
      <c r="J5" s="8" t="inlineStr"/>
      <c r="K5" s="7" t="inlineStr"/>
    </row>
    <row r="6">
      <c r="A6" s="4" t="n">
        <v>2</v>
      </c>
      <c r="B6" s="5" t="inlineStr">
        <is>
          <t>1 - Teknik: Veri Doğruluğu</t>
        </is>
      </c>
      <c r="C6" s="6" t="inlineStr">
        <is>
          <t>Takım kara listesi</t>
        </is>
      </c>
      <c r="D6" s="7" t="inlineStr">
        <is>
          <t>Tahminleri sistematik olarak tutmayan takımların backtest ile tespiti; bu takımların vurgulu listeden ve kupon önerilerinden çıkarılması (liste + gerekçe/isabet oranı).</t>
        </is>
      </c>
      <c r="E6" s="7" t="inlineStr">
        <is>
          <t>Ekip listesi (Gökhan)</t>
        </is>
      </c>
      <c r="F6" s="4" t="inlineStr">
        <is>
          <t>Yüksek</t>
        </is>
      </c>
      <c r="G6" s="4" t="inlineStr">
        <is>
          <t>Faz 1</t>
        </is>
      </c>
      <c r="H6" s="4" t="inlineStr">
        <is>
          <t>Açık</t>
        </is>
      </c>
      <c r="I6" s="7" t="inlineStr"/>
      <c r="J6" s="8" t="inlineStr"/>
      <c r="K6" s="7" t="inlineStr"/>
    </row>
    <row r="7">
      <c r="A7" s="4" t="n">
        <v>3</v>
      </c>
      <c r="B7" s="5" t="inlineStr">
        <is>
          <t>1 - Teknik: Veri Doğruluğu</t>
        </is>
      </c>
      <c r="C7" s="6" t="inlineStr">
        <is>
          <t>Kasa risk temelli kupon öneri sayfası</t>
        </is>
      </c>
      <c r="D7" s="7" t="inlineStr">
        <is>
          <t>Kasanın risk seviyesine (Minimum / Orta / Yüksek) göre maç sayısı, oran aralığı ve olasılık eşiği seçen kupon önerisi. Önce öneri mantığı backtest ile doğrulanmalı, sonra sayfa tasarımı.</t>
        </is>
      </c>
      <c r="E7" s="7" t="inlineStr">
        <is>
          <t>Ekip listesi (Gökhan)</t>
        </is>
      </c>
      <c r="F7" s="4" t="inlineStr">
        <is>
          <t>Yüksek</t>
        </is>
      </c>
      <c r="G7" s="4" t="inlineStr">
        <is>
          <t>Faz 1</t>
        </is>
      </c>
      <c r="H7" s="4" t="inlineStr">
        <is>
          <t>Açık</t>
        </is>
      </c>
      <c r="I7" s="7" t="inlineStr"/>
      <c r="J7" s="8" t="inlineStr"/>
      <c r="K7" s="7" t="inlineStr"/>
    </row>
    <row r="8">
      <c r="A8" s="4" t="n">
        <v>4</v>
      </c>
      <c r="B8" s="5" t="inlineStr">
        <is>
          <t>1 - Teknik: Veri Doğruluğu</t>
        </is>
      </c>
      <c r="C8" s="6" t="inlineStr">
        <is>
          <t>Canlı isabet takibi ve kalibrasyon kontrolü</t>
        </is>
      </c>
      <c r="D8" s="7" t="inlineStr">
        <is>
          <t>Gösterilen olasılık ile gerçekleşen isabet oranının pazar ve lig bazında düzenli karşılaştırılması (ör. %93,5 gösterilen maçlar gerçekte %93 mü tutuyor).</t>
        </is>
      </c>
      <c r="E8" s="7" t="inlineStr">
        <is>
          <t>Öneri (Claude - kod tabanından)</t>
        </is>
      </c>
      <c r="F8" s="4" t="inlineStr">
        <is>
          <t>Yüksek</t>
        </is>
      </c>
      <c r="G8" s="4" t="inlineStr">
        <is>
          <t>Faz 1</t>
        </is>
      </c>
      <c r="H8" s="4" t="inlineStr">
        <is>
          <t>Öneri</t>
        </is>
      </c>
      <c r="I8" s="7" t="inlineStr"/>
      <c r="J8" s="8" t="inlineStr"/>
      <c r="K8" s="7" t="inlineStr"/>
    </row>
    <row r="9">
      <c r="A9" s="4" t="n">
        <v>5</v>
      </c>
      <c r="B9" s="5" t="inlineStr">
        <is>
          <t>1 - Teknik: Veri Doğruluğu</t>
        </is>
      </c>
      <c r="C9" s="6" t="inlineStr">
        <is>
          <t>Avrupa kupaları (UCL/UEL/UECL) için ayrı backtest</t>
        </is>
      </c>
      <c r="D9" s="7" t="inlineStr">
        <is>
          <t>Ligler arası takım gücü farkı lig modelini bozduğu için kupalar şu an vurgudan hariç; ayrı model/backtest gerekli.</t>
        </is>
      </c>
      <c r="E9" s="7" t="inlineStr">
        <is>
          <t>Öneri (Claude - kod tabanından)</t>
        </is>
      </c>
      <c r="F9" s="4" t="inlineStr">
        <is>
          <t>Orta</t>
        </is>
      </c>
      <c r="G9" s="4" t="inlineStr">
        <is>
          <t>Faz 1</t>
        </is>
      </c>
      <c r="H9" s="4" t="inlineStr">
        <is>
          <t>Öneri</t>
        </is>
      </c>
      <c r="I9" s="7" t="inlineStr"/>
      <c r="J9" s="8" t="inlineStr"/>
      <c r="K9" s="7" t="inlineStr"/>
    </row>
    <row r="10">
      <c r="A10" s="4" t="n">
        <v>6</v>
      </c>
      <c r="B10" s="5" t="inlineStr">
        <is>
          <t>1 - Teknik: Veri Doğruluğu</t>
        </is>
      </c>
      <c r="C10" s="6" t="inlineStr">
        <is>
          <t>Veri akışı doğrulama (saatlik bot)</t>
        </is>
      </c>
      <c r="D10" s="7" t="inlineStr">
        <is>
          <t>Saatlik tahmin güncellemesinde eksik/yinelenen maç, yanlış saat, sonuçlanmamış skor gibi durumların otomatik kontrolü.</t>
        </is>
      </c>
      <c r="E10" s="7" t="inlineStr">
        <is>
          <t>Öneri (Claude - kod tabanından)</t>
        </is>
      </c>
      <c r="F10" s="4" t="inlineStr">
        <is>
          <t>Orta</t>
        </is>
      </c>
      <c r="G10" s="4" t="inlineStr">
        <is>
          <t>Faz 1</t>
        </is>
      </c>
      <c r="H10" s="4" t="inlineStr">
        <is>
          <t>Öneri</t>
        </is>
      </c>
      <c r="I10" s="7" t="inlineStr"/>
      <c r="J10" s="8" t="inlineStr"/>
      <c r="K10" s="7" t="inlineStr"/>
    </row>
    <row r="11">
      <c r="A11" s="4" t="n">
        <v>7</v>
      </c>
      <c r="B11" s="5" t="inlineStr">
        <is>
          <t>1 - Teknik: Veri Doğruluğu</t>
        </is>
      </c>
      <c r="C11" s="6" t="inlineStr">
        <is>
          <t>Otomatik testlerin güncellenmesi</t>
        </is>
      </c>
      <c r="D11" s="7" t="inlineStr">
        <is>
          <t>scripts/test_paper_betting.py 10. ve sonraki testler eski Sanal Kasa ekranını kontrol ediyor ve başarısız; yeni tasarıma göre güncellenmeli.</t>
        </is>
      </c>
      <c r="E11" s="7" t="inlineStr">
        <is>
          <t>Öneri (Claude - kod tabanından)</t>
        </is>
      </c>
      <c r="F11" s="4" t="inlineStr">
        <is>
          <t>Düşük</t>
        </is>
      </c>
      <c r="G11" s="4" t="inlineStr">
        <is>
          <t>Faz 1</t>
        </is>
      </c>
      <c r="H11" s="4" t="inlineStr">
        <is>
          <t>Öneri</t>
        </is>
      </c>
      <c r="I11" s="7" t="inlineStr"/>
      <c r="J11" s="8" t="inlineStr"/>
      <c r="K11" s="7" t="inlineStr"/>
    </row>
    <row r="12">
      <c r="A12" s="4" t="n">
        <v>8</v>
      </c>
      <c r="B12" s="9" t="inlineStr">
        <is>
          <t>2 - Arayüz: Kullanılabilirlik &amp; Profesyonel Görünüm</t>
        </is>
      </c>
      <c r="C12" s="6" t="inlineStr">
        <is>
          <t>Rakip siteleri inceleyerek iyi yön analizi</t>
        </is>
      </c>
      <c r="D12" s="7" t="inlineStr">
        <is>
          <t>Benzer tahmin/istatistik sitelerinin güçlü yanlarının (sunum, filtreleme, güven göstergesi, mobil deneyim) listelenmesi ve BETAVUS'a uygulanabilecek maddelerin çıkarılması. Faz 2'nin yol haritasını belirler.</t>
        </is>
      </c>
      <c r="E12" s="7" t="inlineStr">
        <is>
          <t>Ekip listesi (Gökhan)</t>
        </is>
      </c>
      <c r="F12" s="4" t="inlineStr">
        <is>
          <t>Yüksek</t>
        </is>
      </c>
      <c r="G12" s="4" t="inlineStr">
        <is>
          <t>Faz 2</t>
        </is>
      </c>
      <c r="H12" s="4" t="inlineStr">
        <is>
          <t>Açık</t>
        </is>
      </c>
      <c r="I12" s="7" t="inlineStr"/>
      <c r="J12" s="8" t="inlineStr"/>
      <c r="K12" s="7" t="inlineStr"/>
    </row>
    <row r="13">
      <c r="A13" s="4" t="n">
        <v>9</v>
      </c>
      <c r="B13" s="9" t="inlineStr">
        <is>
          <t>2 - Arayüz: Kullanılabilirlik &amp; Profesyonel Görünüm</t>
        </is>
      </c>
      <c r="C13" s="6" t="inlineStr">
        <is>
          <t>Lig filtre görselini düzelt</t>
        </is>
      </c>
      <c r="D13" s="7" t="inlineStr">
        <is>
          <t>Lig filtresinin görünümü ve kullanımının iyileştirilmesi (hizalama, seçili durum, mobilde kullanım).</t>
        </is>
      </c>
      <c r="E13" s="7" t="inlineStr">
        <is>
          <t>Ekip listesi (Gökhan)</t>
        </is>
      </c>
      <c r="F13" s="4" t="inlineStr">
        <is>
          <t>Orta</t>
        </is>
      </c>
      <c r="G13" s="4" t="inlineStr">
        <is>
          <t>Faz 2</t>
        </is>
      </c>
      <c r="H13" s="4" t="inlineStr">
        <is>
          <t>Açık</t>
        </is>
      </c>
      <c r="I13" s="7" t="inlineStr"/>
      <c r="J13" s="8" t="inlineStr"/>
      <c r="K13" s="7" t="inlineStr"/>
    </row>
    <row r="14">
      <c r="A14" s="4" t="n">
        <v>10</v>
      </c>
      <c r="B14" s="9" t="inlineStr">
        <is>
          <t>2 - Arayüz: Kullanılabilirlik &amp; Profesyonel Görünüm</t>
        </is>
      </c>
      <c r="C14" s="6" t="inlineStr">
        <is>
          <t>Ana sayfa arka planını geliştir</t>
        </is>
      </c>
      <c r="D14" s="7" t="inlineStr">
        <is>
          <t>Ana sayfa arka planının daha profesyonel hale getirilmesi; açık/koyu tema ve mobilde kontrol.</t>
        </is>
      </c>
      <c r="E14" s="7" t="inlineStr">
        <is>
          <t>Ekip listesi (Gökhan)</t>
        </is>
      </c>
      <c r="F14" s="4" t="inlineStr">
        <is>
          <t>Orta</t>
        </is>
      </c>
      <c r="G14" s="4" t="inlineStr">
        <is>
          <t>Faz 2</t>
        </is>
      </c>
      <c r="H14" s="4" t="inlineStr">
        <is>
          <t>Açık</t>
        </is>
      </c>
      <c r="I14" s="7" t="inlineStr"/>
      <c r="J14" s="8" t="inlineStr"/>
      <c r="K14" s="7" t="inlineStr"/>
    </row>
    <row r="15">
      <c r="A15" s="4" t="n">
        <v>11</v>
      </c>
      <c r="B15" s="9" t="inlineStr">
        <is>
          <t>2 - Arayüz: Kullanılabilirlik &amp; Profesyonel Görünüm</t>
        </is>
      </c>
      <c r="C15" s="6" t="inlineStr">
        <is>
          <t>Mobil görünüm kontrolü</t>
        </is>
      </c>
      <c r="D15" s="7" t="inlineStr">
        <is>
          <t>Sanal Kasa kutucuklarında daha önce görülen taşma sorununun yeni tasarımda kontrolü; tüm sekmelerin telefon genişliğinde incelenmesi.</t>
        </is>
      </c>
      <c r="E15" s="7" t="inlineStr">
        <is>
          <t>Öneri (Claude - kod tabanından)</t>
        </is>
      </c>
      <c r="F15" s="4" t="inlineStr">
        <is>
          <t>Orta</t>
        </is>
      </c>
      <c r="G15" s="4" t="inlineStr">
        <is>
          <t>Faz 2</t>
        </is>
      </c>
      <c r="H15" s="4" t="inlineStr">
        <is>
          <t>Öneri</t>
        </is>
      </c>
      <c r="I15" s="7" t="inlineStr"/>
      <c r="J15" s="8" t="inlineStr"/>
      <c r="K15" s="7" t="inlineStr"/>
    </row>
    <row r="16">
      <c r="A16" s="4" t="n">
        <v>12</v>
      </c>
      <c r="B16" s="9" t="inlineStr">
        <is>
          <t>2 - Arayüz: Kullanılabilirlik &amp; Profesyonel Görünüm</t>
        </is>
      </c>
      <c r="C16" s="6" t="inlineStr">
        <is>
          <t>"Hesabımı sil" butonu</t>
        </is>
      </c>
      <c r="D16" s="7" t="inlineStr">
        <is>
          <t>Gizlilik sayfası hesap silmenin mümkün olduğunu söylüyor ama bir yol göstermiyor; Supabase'de SQL fonksiyonu + buton gerekli.</t>
        </is>
      </c>
      <c r="E16" s="7" t="inlineStr">
        <is>
          <t>Öneri (Claude - kod tabanından)</t>
        </is>
      </c>
      <c r="F16" s="4" t="inlineStr">
        <is>
          <t>Orta</t>
        </is>
      </c>
      <c r="G16" s="4" t="inlineStr">
        <is>
          <t>Faz 2</t>
        </is>
      </c>
      <c r="H16" s="4" t="inlineStr">
        <is>
          <t>Öneri</t>
        </is>
      </c>
      <c r="I16" s="7" t="inlineStr"/>
      <c r="J16" s="8" t="inlineStr"/>
      <c r="K16" s="7" t="inlineStr"/>
    </row>
    <row r="17">
      <c r="A17" s="4" t="n">
        <v>13</v>
      </c>
      <c r="B17" s="9" t="inlineStr">
        <is>
          <t>2 - Arayüz: Kullanılabilirlik &amp; Profesyonel Görünüm</t>
        </is>
      </c>
      <c r="C17" s="6" t="inlineStr">
        <is>
          <t>Hollandaca çevirilerin gözden geçirilmesi</t>
        </is>
      </c>
      <c r="D17" s="7" t="inlineStr">
        <is>
          <t>NL metinlerinin anadili Hollandaca olan biri tarafından kontrolü.</t>
        </is>
      </c>
      <c r="E17" s="7" t="inlineStr">
        <is>
          <t>Öneri (Claude - kod tabanından)</t>
        </is>
      </c>
      <c r="F17" s="4" t="inlineStr">
        <is>
          <t>Düşük</t>
        </is>
      </c>
      <c r="G17" s="4" t="inlineStr">
        <is>
          <t>Faz 2</t>
        </is>
      </c>
      <c r="H17" s="4" t="inlineStr">
        <is>
          <t>Öneri</t>
        </is>
      </c>
      <c r="I17" s="7" t="inlineStr"/>
      <c r="J17" s="8" t="inlineStr"/>
      <c r="K17" s="7" t="inlineStr"/>
    </row>
  </sheetData>
  <autoFilter ref="A4:K17"/>
  <mergeCells count="1">
    <mergeCell ref="A2:K2"/>
  </mergeCells>
  <dataValidations count="4">
    <dataValidation sqref="H5:H67" showDropDown="0" showInputMessage="0" showErrorMessage="0" allowBlank="1" type="list">
      <formula1>"Öneri,Açık,Devam ediyor,Test,Tamamlandı,İptal"</formula1>
    </dataValidation>
    <dataValidation sqref="F5:F67" showDropDown="0" showInputMessage="0" showErrorMessage="0" allowBlank="1" type="list">
      <formula1>"Yüksek,Orta,Düşük"</formula1>
    </dataValidation>
    <dataValidation sqref="G5:G67" showDropDown="0" showInputMessage="0" showErrorMessage="0" allowBlank="1" type="list">
      <formula1>"Faz 1,Faz 2"</formula1>
    </dataValidation>
    <dataValidation sqref="B5:B67" showDropDown="0" showInputMessage="0" showErrorMessage="0" allowBlank="1" type="list">
      <formula1>"1 - Teknik: Veri Doğruluğu,2 - Arayüz: Kullanılabilirlik &amp; Profesyonel Görünüm"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0" t="inlineStr">
        <is>
          <t>Özet (İş Listesi sayfasından otomatik)</t>
        </is>
      </c>
    </row>
    <row r="3">
      <c r="A3" s="11" t="inlineStr">
        <is>
          <t>Segment</t>
        </is>
      </c>
      <c r="B3" s="11" t="inlineStr">
        <is>
          <t>Öneri</t>
        </is>
      </c>
      <c r="C3" s="11" t="inlineStr">
        <is>
          <t>Açık</t>
        </is>
      </c>
      <c r="D3" s="11" t="inlineStr">
        <is>
          <t>Devam ediyor</t>
        </is>
      </c>
      <c r="E3" s="11" t="inlineStr">
        <is>
          <t>Test</t>
        </is>
      </c>
      <c r="F3" s="11" t="inlineStr">
        <is>
          <t>Tamamlandı</t>
        </is>
      </c>
      <c r="G3" s="11" t="inlineStr">
        <is>
          <t>İptal</t>
        </is>
      </c>
      <c r="H3" s="11" t="inlineStr">
        <is>
          <t>Toplam</t>
        </is>
      </c>
      <c r="I3" s="11" t="inlineStr">
        <is>
          <t>Tamamlanma %</t>
        </is>
      </c>
    </row>
    <row r="4">
      <c r="A4" s="12" t="inlineStr">
        <is>
          <t>1 - Teknik: Veri Doğruluğu</t>
        </is>
      </c>
      <c r="B4" s="13">
        <f>COUNTIFS('İş Listesi'!$B$5:$B$500,$A4,'İş Listesi'!$H$5:$H$500,B$3)</f>
        <v/>
      </c>
      <c r="C4" s="13">
        <f>COUNTIFS('İş Listesi'!$B$5:$B$500,$A4,'İş Listesi'!$H$5:$H$500,C$3)</f>
        <v/>
      </c>
      <c r="D4" s="13">
        <f>COUNTIFS('İş Listesi'!$B$5:$B$500,$A4,'İş Listesi'!$H$5:$H$500,D$3)</f>
        <v/>
      </c>
      <c r="E4" s="13">
        <f>COUNTIFS('İş Listesi'!$B$5:$B$500,$A4,'İş Listesi'!$H$5:$H$500,E$3)</f>
        <v/>
      </c>
      <c r="F4" s="13">
        <f>COUNTIFS('İş Listesi'!$B$5:$B$500,$A4,'İş Listesi'!$H$5:$H$500,F$3)</f>
        <v/>
      </c>
      <c r="G4" s="13">
        <f>COUNTIFS('İş Listesi'!$B$5:$B$500,$A4,'İş Listesi'!$H$5:$H$500,G$3)</f>
        <v/>
      </c>
      <c r="H4" s="13">
        <f>SUM(B4:G4)</f>
        <v/>
      </c>
      <c r="I4" s="14">
        <f>IF(H4-G4=0,0,F4/(H4-G4))</f>
        <v/>
      </c>
    </row>
    <row r="5">
      <c r="A5" s="12" t="inlineStr">
        <is>
          <t>2 - Arayüz: Kullanılabilirlik &amp; Profesyonel Görünüm</t>
        </is>
      </c>
      <c r="B5" s="13">
        <f>COUNTIFS('İş Listesi'!$B$5:$B$500,$A5,'İş Listesi'!$H$5:$H$500,B$3)</f>
        <v/>
      </c>
      <c r="C5" s="13">
        <f>COUNTIFS('İş Listesi'!$B$5:$B$500,$A5,'İş Listesi'!$H$5:$H$500,C$3)</f>
        <v/>
      </c>
      <c r="D5" s="13">
        <f>COUNTIFS('İş Listesi'!$B$5:$B$500,$A5,'İş Listesi'!$H$5:$H$500,D$3)</f>
        <v/>
      </c>
      <c r="E5" s="13">
        <f>COUNTIFS('İş Listesi'!$B$5:$B$500,$A5,'İş Listesi'!$H$5:$H$500,E$3)</f>
        <v/>
      </c>
      <c r="F5" s="13">
        <f>COUNTIFS('İş Listesi'!$B$5:$B$500,$A5,'İş Listesi'!$H$5:$H$500,F$3)</f>
        <v/>
      </c>
      <c r="G5" s="13">
        <f>COUNTIFS('İş Listesi'!$B$5:$B$500,$A5,'İş Listesi'!$H$5:$H$500,G$3)</f>
        <v/>
      </c>
      <c r="H5" s="13">
        <f>SUM(B5:G5)</f>
        <v/>
      </c>
      <c r="I5" s="14">
        <f>IF(H5-G5=0,0,F5/(H5-G5))</f>
        <v/>
      </c>
    </row>
    <row r="6">
      <c r="A6" s="15" t="inlineStr">
        <is>
          <t>Toplam</t>
        </is>
      </c>
      <c r="B6" s="16">
        <f>SUM(B4:B5)</f>
        <v/>
      </c>
      <c r="C6" s="16">
        <f>SUM(C4:C5)</f>
        <v/>
      </c>
      <c r="D6" s="16">
        <f>SUM(D4:D5)</f>
        <v/>
      </c>
      <c r="E6" s="16">
        <f>SUM(E4:E5)</f>
        <v/>
      </c>
      <c r="F6" s="16">
        <f>SUM(F4:F5)</f>
        <v/>
      </c>
      <c r="G6" s="16">
        <f>SUM(G4:G5)</f>
        <v/>
      </c>
      <c r="H6" s="16">
        <f>SUM(H4:H5)</f>
        <v/>
      </c>
      <c r="I6" s="17">
        <f>IF(H6-G6=0,0,F6/(H6-G6))</f>
        <v/>
      </c>
    </row>
    <row r="8">
      <c r="A8" s="18" t="inlineStr">
        <is>
          <t>Tamamlanma % = Tamamlandı / (Toplam − İptal)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2026-09-26T10:24:17Z</dcterms:created>
  <dcterms:modified xsi:type="dcterms:W3CDTF">2026-09-26T10:24:17Z</dcterms:modified>
</cp:coreProperties>
</file>