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ş Listesi" sheetId="1" state="visible" r:id="rId1"/>
    <sheet name="Özet" sheetId="2" state="visible" r:id="rId2"/>
    <sheet name="Güven Payı Kuralları" sheetId="3" state="visible" r:id="rId3"/>
  </sheets>
  <definedNames>
    <definedName name="_xlnm._FilterDatabase" localSheetId="0" hidden="1">'İş Listesi'!$A$4:$N$500</definedName>
  </definedNames>
  <calcPr calcId="124519" fullCalcOnLoad="1"/>
</workbook>
</file>

<file path=xl/styles.xml><?xml version="1.0" encoding="utf-8"?>
<styleSheet xmlns="http://schemas.openxmlformats.org/spreadsheetml/2006/main">
  <numFmts count="3">
    <numFmt numFmtId="164" formatCode="dd.mm.yyyy"/>
    <numFmt numFmtId="165" formatCode="DD.MM.YYYY"/>
    <numFmt numFmtId="166" formatCode="yyyy-mm-dd h:mm:ss"/>
  </numFmts>
  <fonts count="11">
    <font>
      <name val="Calibri"/>
      <family val="2"/>
      <color theme="1"/>
      <sz val="11"/>
      <scheme val="minor"/>
    </font>
    <font>
      <name val="Arial"/>
      <b val="1"/>
      <sz val="14"/>
    </font>
    <font>
      <name val="Arial"/>
      <i val="1"/>
      <color rgb="00595959"/>
      <sz val="9"/>
    </font>
    <font>
      <name val="Arial"/>
      <b val="1"/>
      <color rgb="00FFFFFF"/>
    </font>
    <font>
      <name val="Arial"/>
      <sz val="10"/>
    </font>
    <font>
      <name val="Arial"/>
      <b val="1"/>
      <sz val="10"/>
    </font>
    <font>
      <name val="Arial"/>
      <b val="1"/>
      <sz val="13"/>
    </font>
    <font>
      <name val="Arial"/>
      <i val="1"/>
      <sz val="10"/>
    </font>
    <font>
      <name val="Arial"/>
      <b val="1"/>
      <sz val="11"/>
    </font>
    <font>
      <name val="Arial"/>
      <i val="1"/>
      <color rgb="00595959"/>
      <sz val="10"/>
    </font>
    <font>
      <name val="Arial"/>
      <color rgb="00595959"/>
      <sz val="10"/>
    </font>
  </fonts>
  <fills count="5">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164" fontId="4" fillId="0" borderId="1" applyAlignment="1" pivotButton="0" quotePrefix="0" xfId="0">
      <alignment horizontal="center" vertical="top" wrapText="1"/>
    </xf>
    <xf numFmtId="0" fontId="4" fillId="4" borderId="1" applyAlignment="1" pivotButton="0" quotePrefix="0" xfId="0">
      <alignment horizontal="left" vertical="top" wrapText="1"/>
    </xf>
    <xf numFmtId="0" fontId="6" fillId="0" borderId="0" pivotButton="0" quotePrefix="0" xfId="0"/>
    <xf numFmtId="0" fontId="3" fillId="2" borderId="1" applyAlignment="1" pivotButton="0" quotePrefix="0" xfId="0">
      <alignment horizontal="center" wrapText="1"/>
    </xf>
    <xf numFmtId="0" fontId="4" fillId="0" borderId="1" pivotButton="0" quotePrefix="0" xfId="0"/>
    <xf numFmtId="0" fontId="4" fillId="0" borderId="1" applyAlignment="1" pivotButton="0" quotePrefix="0" xfId="0">
      <alignment horizontal="center"/>
    </xf>
    <xf numFmtId="9" fontId="4" fillId="0"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2" fillId="0" borderId="0" pivotButton="0" quotePrefix="0" xfId="0"/>
    <xf numFmtId="165" fontId="4" fillId="0" borderId="1" applyAlignment="1" pivotButton="0" quotePrefix="0" xfId="0">
      <alignment horizontal="left" vertical="top" wrapText="1"/>
    </xf>
    <xf numFmtId="165" fontId="0" fillId="0" borderId="0" pivotButton="0" quotePrefix="0" xfId="0"/>
    <xf numFmtId="0" fontId="4" fillId="0" borderId="1"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8" fillId="0" borderId="0" pivotButton="0" quotePrefix="0" xfId="0"/>
    <xf numFmtId="3" fontId="4" fillId="0" borderId="1" applyAlignment="1" pivotButton="0" quotePrefix="0" xfId="0">
      <alignment vertical="top" wrapText="1"/>
    </xf>
    <xf numFmtId="0" fontId="2" fillId="0" borderId="0" applyAlignment="1" pivotButton="0" quotePrefix="0" xfId="0">
      <alignment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dxfs count="6">
    <dxf>
      <font>
        <b val="1"/>
        <color rgb="007F6000"/>
      </font>
      <fill>
        <patternFill patternType="solid">
          <fgColor rgb="00FFF2CC"/>
          <bgColor rgb="00FFF2CC"/>
        </patternFill>
      </fill>
    </dxf>
    <dxf>
      <font>
        <b val="1"/>
        <color rgb="001F3864"/>
      </font>
      <fill>
        <patternFill patternType="solid">
          <fgColor rgb="00DDEBF7"/>
          <bgColor rgb="00DDEBF7"/>
        </patternFill>
      </fill>
    </dxf>
    <dxf>
      <font>
        <b val="1"/>
        <color rgb="00833C0B"/>
      </font>
      <fill>
        <patternFill patternType="solid">
          <fgColor rgb="00FCE4D6"/>
          <bgColor rgb="00FCE4D6"/>
        </patternFill>
      </fill>
    </dxf>
    <dxf>
      <font>
        <b val="1"/>
        <color rgb="004B2E83"/>
      </font>
      <fill>
        <patternFill patternType="solid">
          <fgColor rgb="00EDE7F6"/>
          <bgColor rgb="00EDE7F6"/>
        </patternFill>
      </fill>
    </dxf>
    <dxf>
      <font>
        <b val="1"/>
        <color rgb="00375623"/>
      </font>
      <fill>
        <patternFill patternType="solid">
          <fgColor rgb="00E2EFDA"/>
          <bgColor rgb="00E2EFDA"/>
        </patternFill>
      </fill>
    </dxf>
    <dxf>
      <font>
        <b val="1"/>
        <color rgb="007F7F7F"/>
      </font>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500"/>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34" customWidth="1" min="3" max="3"/>
    <col width="62" customWidth="1" min="4" max="4"/>
    <col width="20" customWidth="1" min="5" max="5"/>
    <col width="10" customWidth="1" min="6" max="6"/>
    <col width="8" customWidth="1" min="7" max="7"/>
    <col width="12" customWidth="1" min="8" max="8"/>
    <col width="14" customWidth="1" min="9" max="9"/>
    <col width="12" customWidth="1" min="10" max="10"/>
    <col width="28" customWidth="1" min="11" max="11"/>
    <col width="13" customWidth="1" min="12" max="12"/>
    <col width="13" customWidth="1" min="13" max="13"/>
    <col width="34" customWidth="1" min="14" max="14"/>
  </cols>
  <sheetData>
    <row r="1">
      <c r="A1" s="1" t="inlineStr">
        <is>
          <t>BETAVUS İş Listesi</t>
        </is>
      </c>
    </row>
    <row r="2" ht="48" customHeight="1">
      <c r="A2" s="2" t="inlineStr">
        <is>
          <t>Nasıl kullanılır: Yeni fikir = yeni satır, Durum "Öneri" (karar bekliyor). Claude her oturumda listeyi okur ve "Öneri" satırlarını "şimdi yapayım mı, plana mı alayım?" diye sorar. Plana alınan iş = "Açık", üzerinde çalışılan = "Devam ediyor", iş bitince Claude "Tamamlandı" yapar, Kapanış Tarihi ile Commit'i doldurur. Önce Faz 1 (teknik veri doğruluğu), sonra Faz 2 (arayüz). Excel'de düzenlemeden önce Pull, kaydettikten hemen sonra Commit + Push.</t>
        </is>
      </c>
    </row>
    <row r="4">
      <c r="A4" s="3" t="inlineStr">
        <is>
          <t>No</t>
        </is>
      </c>
      <c r="B4" s="3" t="inlineStr">
        <is>
          <t>Segment</t>
        </is>
      </c>
      <c r="C4" s="3" t="inlineStr">
        <is>
          <t>Başlık</t>
        </is>
      </c>
      <c r="D4" s="3" t="inlineStr">
        <is>
          <t>Açıklama / Kapsam</t>
        </is>
      </c>
      <c r="E4" s="3" t="inlineStr">
        <is>
          <t>Kaynak</t>
        </is>
      </c>
      <c r="F4" s="3" t="inlineStr">
        <is>
          <t>Öncelik</t>
        </is>
      </c>
      <c r="G4" s="3" t="inlineStr">
        <is>
          <t>Faz</t>
        </is>
      </c>
      <c r="H4" s="3" t="inlineStr">
        <is>
          <t>Durum</t>
        </is>
      </c>
      <c r="I4" s="3" t="inlineStr">
        <is>
          <t>Sorumlu</t>
        </is>
      </c>
      <c r="J4" s="3" t="inlineStr">
        <is>
          <t>Hedef Tarih</t>
        </is>
      </c>
      <c r="K4" s="3" t="inlineStr">
        <is>
          <t>Not</t>
        </is>
      </c>
      <c r="L4" s="3" t="inlineStr">
        <is>
          <t>Eklenme Tarihi</t>
        </is>
      </c>
      <c r="M4" s="3" t="inlineStr">
        <is>
          <t>Kapanış Tarihi</t>
        </is>
      </c>
      <c r="N4" s="3" t="inlineStr">
        <is>
          <t>Commit / Yapılan</t>
        </is>
      </c>
    </row>
    <row r="5">
      <c r="A5" s="4" t="n">
        <v>1</v>
      </c>
      <c r="B5" s="5" t="inlineStr">
        <is>
          <t>1 - Teknik: Veri Doğruluğu</t>
        </is>
      </c>
      <c r="C5" s="6" t="inlineStr">
        <is>
          <t>Sanal Kasa: mental kontrol mekanizması + cashout stratejisi</t>
        </is>
      </c>
      <c r="D5" s="7" t="inlineStr">
        <is>
          <t>Günlük kayıp limiti / stop-loss, üst üste kayıpta uyarı ve bekleme süresi (tilt koruması), hedefe yaklaşınca kısmi kâr çekme (cashout) kuralları. Hesaplama js/paper_engine.js'e, gösterim Sanal Kasa ekranına.</t>
        </is>
      </c>
      <c r="E5" s="7" t="inlineStr">
        <is>
          <t>Ekip listesi (Gökhan)</t>
        </is>
      </c>
      <c r="F5" s="4" t="inlineStr">
        <is>
          <t>Yüksek</t>
        </is>
      </c>
      <c r="G5" s="4" t="inlineStr">
        <is>
          <t>Faz 1</t>
        </is>
      </c>
      <c r="H5" s="4" t="inlineStr">
        <is>
          <t>Tamamlandı</t>
        </is>
      </c>
      <c r="I5" s="7" t="inlineStr">
        <is>
          <t>Claude (Murat)</t>
        </is>
      </c>
      <c r="J5" s="8" t="inlineStr"/>
      <c r="K5" s="21" t="inlineStr">
        <is>
          <t>Sadeleştirildi (2026-09-26): güvenli sınır OTOMATİK (başlangıç kasası + kilitli para, kişiye sorulmaz; dayanak: zihinsel muhasebe, kasanın parası etkisi, kayıptan kaçınma). Tek satır durum + tek buton + 'Güvenli sınır nedir?' açıklaması. Kurallar 'Güven Payı Kuralları' sayfasında. | 26.09 Murat: kapatıldı.</t>
        </is>
      </c>
      <c r="L5" s="19" t="n">
        <v>46291</v>
      </c>
      <c r="M5" s="19" t="n">
        <v>46291</v>
      </c>
      <c r="N5" s="21" t="inlineStr">
        <is>
          <t>d8d4301 — Sanal Kasa'ya Duygusal Denge Koçu: stres eşiği / anapara / zirveden düşüş / kazanç serisi sinyalleri, risk profili seçenekli cash-out, elle kenara koyma, geri alma, yol haritası; tablo+grafikte 'Kenarda' (js/paper_engine.js, js/paper_ui.js). a6b9224 — güven payı kazanç eğrisi/hedef dışında; Güven Payı İşlemleri (kenara koy / kasaya geri al); Tab/Enter ile sonraki gün; girişte sayfa kaymıyor. f3e7679 — Sadeleştirme: Güven Payı kartı (tek sayı + tek buton + yol çizgisi), rahat sınır alanı, Oyundaki/Kilitli sütunları. 1f2a385 — güvenli sınır OTOMATİK (kişiye sorulmaz), kart tek satır + tek buton + açıklama; yol çizgisi ve rahat sınır alanı kaldırıldı.</t>
        </is>
      </c>
    </row>
    <row r="6">
      <c r="A6" s="4" t="n">
        <v>2</v>
      </c>
      <c r="B6" s="5" t="inlineStr">
        <is>
          <t>1 - Teknik: Veri Doğruluğu</t>
        </is>
      </c>
      <c r="C6" s="6" t="inlineStr">
        <is>
          <t>Takım kara listesi</t>
        </is>
      </c>
      <c r="D6" s="7" t="inlineStr">
        <is>
          <t>Tahminleri sistematik olarak tutmayan takımların backtest ile tespiti; bu takımların vurgulu listeden ve kupon önerilerinden çıkarılması (liste + gerekçe/isabet oranı).</t>
        </is>
      </c>
      <c r="E6" s="7" t="inlineStr">
        <is>
          <t>Ekip listesi (Gökhan)</t>
        </is>
      </c>
      <c r="F6" s="4" t="inlineStr">
        <is>
          <t>Yüksek</t>
        </is>
      </c>
      <c r="G6" s="4" t="inlineStr">
        <is>
          <t>Faz 1</t>
        </is>
      </c>
      <c r="H6" s="4" t="inlineStr">
        <is>
          <t>Tamamlandı</t>
        </is>
      </c>
      <c r="I6" s="7" t="inlineStr"/>
      <c r="J6" s="8" t="inlineStr"/>
      <c r="K6" s="7" t="inlineStr">
        <is>
          <t>Sonuç negatif: geçmişte vurgusu tutmayan takımlar sonraki sezonda diğerleriyle aynı tutuyor (pazar içi fark anlamsız) → şans. Canlı koda dokunulmadı.</t>
        </is>
      </c>
      <c r="L6" s="19" t="n">
        <v>46291</v>
      </c>
      <c r="M6" s="19" t="n">
        <v>46291</v>
      </c>
      <c r="N6" s="7" t="inlineStr">
        <is>
          <t>799a2bf — scripts/tune_team_blacklist.py: 24 ayarlı ileriye dönük test, 13.133 vurgu. Kara liste isabeti artırmıyor (en iyi +0,03 puan, anlamsız; çoğu ayarda düşürüyor). YAYINA ALINMADI.</t>
        </is>
      </c>
    </row>
    <row r="7">
      <c r="A7" s="4" t="n">
        <v>3</v>
      </c>
      <c r="B7" s="5" t="inlineStr">
        <is>
          <t>1 - Teknik: Veri Doğruluğu</t>
        </is>
      </c>
      <c r="C7" s="6" t="inlineStr">
        <is>
          <t>Kasa risk temelli kupon öneri sayfası</t>
        </is>
      </c>
      <c r="D7" s="7" t="inlineStr">
        <is>
          <t>Kasanın risk seviyesine (Minimum / Orta / Yüksek) göre maç sayısı, oran aralığı ve olasılık eşiği seçen kupon önerisi. Önce öneri mantığı backtest ile doğrulanmalı, sonra sayfa tasarımı.</t>
        </is>
      </c>
      <c r="E7" s="7" t="inlineStr">
        <is>
          <t>Ekip listesi (Gökhan)</t>
        </is>
      </c>
      <c r="F7" s="4" t="inlineStr">
        <is>
          <t>Yüksek</t>
        </is>
      </c>
      <c r="G7" s="4" t="inlineStr">
        <is>
          <t>Faz 1</t>
        </is>
      </c>
      <c r="H7" s="4" t="inlineStr">
        <is>
          <t>Tamamlandı</t>
        </is>
      </c>
      <c r="I7" s="7" t="inlineStr"/>
      <c r="J7" s="8" t="inlineStr"/>
      <c r="K7" s="7" t="inlineStr">
        <is>
          <t>BEKLEMEDE (26.09, Murat): Gökhan ile konuşulacak. BACKTEST SONUCU (karar bekliyor): bugünkü profillerin hedef oranları (1.28/1.42/1.35) kuponların gerçek tutma oranından çıkan adil orandan yüksek (Minimum adil 1.15, Yüksek 1.24). Piyasa oranlarıyla ROI −9% / −15% / −13%, kasa sezonda eriyor. 137 ayardan hiçbiri eğitim+doğrulamada kârlı değil; en iyiler ≈ −1% (tek maç ÇŞ ≥%85). Karar: (a) risk seviyelerini ölçülen kurallarla ve gerçek tutma oranlarıyla gösteren, büyüme vaadi olmayan öneri sayfası (önerilen) ya da (b) mevcut profillerle devam. Sanal Kasa %10/15/25 büyüme hedefleri de aynı bulguya takılıyor. | 26.09 Murat: 'ölçülmüş kurallar' yönü seçildi, onaylandı.</t>
        </is>
      </c>
      <c r="L7" s="19" t="n">
        <v>46291</v>
      </c>
      <c r="M7" s="19" t="n">
        <v>46291</v>
      </c>
      <c r="N7" s="7" t="inlineStr">
        <is>
          <t>87e4154 — adım 1/2 backtest: scripts/tune_coupon_profiles.py | c7b132a — Sanal Kasa'da kupon önerisi kartı (ölçülmüş kurallar, geçmiş tutma oranı, adil oran, dürüst kâr notu); build_coupon_rules.py günlük</t>
        </is>
      </c>
    </row>
    <row r="8">
      <c r="A8" s="4" t="n">
        <v>4</v>
      </c>
      <c r="B8" s="5" t="inlineStr">
        <is>
          <t>1 - Teknik: Veri Doğruluğu</t>
        </is>
      </c>
      <c r="C8" s="6" t="inlineStr">
        <is>
          <t>Canlı isabet takibi ve kalibrasyon kontrolü</t>
        </is>
      </c>
      <c r="D8" s="7" t="inlineStr">
        <is>
          <t>Gösterilen olasılık ile gerçekleşen isabet oranının pazar ve lig bazında düzenli karşılaştırılması (ör. %93,5 gösterilen maçlar gerçekte %93 mü tutuyor).</t>
        </is>
      </c>
      <c r="E8" s="7" t="inlineStr">
        <is>
          <t>Öneri (Claude - kod tabanından)</t>
        </is>
      </c>
      <c r="F8" s="4" t="inlineStr">
        <is>
          <t>Yüksek</t>
        </is>
      </c>
      <c r="G8" s="4" t="inlineStr">
        <is>
          <t>Faz 1</t>
        </is>
      </c>
      <c r="H8" s="4" t="inlineStr">
        <is>
          <t>Tamamlandı</t>
        </is>
      </c>
      <c r="I8" s="7" t="inlineStr"/>
      <c r="J8" s="8" t="inlineStr"/>
      <c r="K8" s="7" t="inlineStr">
        <is>
          <t>Bulgu: vurgulu bölgede model hafif temkinli (0.5+: %94,9 dedi → %95,8; 1X: %83,9 → %87,6). Murat onayladı.</t>
        </is>
      </c>
      <c r="L8" s="19" t="n">
        <v>46291</v>
      </c>
      <c r="M8" s="19" t="n">
        <v>46291</v>
      </c>
      <c r="N8" s="7" t="inlineStr">
        <is>
          <t>4b82ff1 — İstatistikler'e kalibrasyon kartı: pazar seçmeli grafik + tablo, vurgulu özet, ortalama sapma; filtrelere uyar, günlük güncellenir</t>
        </is>
      </c>
    </row>
    <row r="9">
      <c r="A9" s="4" t="n">
        <v>5</v>
      </c>
      <c r="B9" s="5" t="inlineStr">
        <is>
          <t>1 - Teknik: Veri Doğruluğu</t>
        </is>
      </c>
      <c r="C9" s="6" t="inlineStr">
        <is>
          <t>Avrupa kupaları (UCL/UEL/UECL) için ayrı backtest</t>
        </is>
      </c>
      <c r="D9" s="7" t="inlineStr">
        <is>
          <t>Ligler arası takım gücü farkı lig modelini bozduğu için kupalar şu an vurgudan hariç; ayrı model/backtest gerekli.</t>
        </is>
      </c>
      <c r="E9" s="7" t="inlineStr">
        <is>
          <t>Öneri (Claude - kod tabanından)</t>
        </is>
      </c>
      <c r="F9" s="4" t="inlineStr">
        <is>
          <t>Orta</t>
        </is>
      </c>
      <c r="G9" s="4" t="inlineStr">
        <is>
          <t>Faz 1</t>
        </is>
      </c>
      <c r="H9" s="4" t="inlineStr">
        <is>
          <t>Tamamlandı</t>
        </is>
      </c>
      <c r="I9" s="7" t="inlineStr"/>
      <c r="J9" s="8" t="inlineStr"/>
      <c r="K9" s="7" t="inlineStr">
        <is>
          <t>Sonuç: yalnız 0.5+ lig seviyesinde tutuyor (%95,9); 1.5+/2.5+/Çifte Şans vurguları kupalarda belirgin düşük (%62–83). Kapsam %27 (iki takım da 10 ligimizde). Canlıya alınmadı; öneri → #22.</t>
        </is>
      </c>
      <c r="L9" s="19" t="n">
        <v>46291</v>
      </c>
      <c r="M9" s="19" t="n">
        <v>46291</v>
      </c>
      <c r="N9" s="7" t="inlineStr">
        <is>
          <t>f762bc7 — ESPN'den 2.314 kupa maçı, lig katsayılı ayrı model, 520 maçlık ileriye dönük test</t>
        </is>
      </c>
    </row>
    <row r="10">
      <c r="A10" s="4" t="n">
        <v>6</v>
      </c>
      <c r="B10" s="5" t="inlineStr">
        <is>
          <t>1 - Teknik: Veri Doğruluğu</t>
        </is>
      </c>
      <c r="C10" s="6" t="inlineStr">
        <is>
          <t>Veri akışı doğrulama (saatlik bot)</t>
        </is>
      </c>
      <c r="D10" s="7" t="inlineStr">
        <is>
          <t>Saatlik tahmin güncellemesinde eksik/yinelenen maç, yanlış saat, sonuçlanmamış skor gibi durumların otomatik kontrolü.</t>
        </is>
      </c>
      <c r="E10" s="7" t="inlineStr">
        <is>
          <t>Öneri (Claude - kod tabanından)</t>
        </is>
      </c>
      <c r="F10" s="4" t="inlineStr">
        <is>
          <t>Orta</t>
        </is>
      </c>
      <c r="G10" s="4" t="inlineStr">
        <is>
          <t>Faz 1</t>
        </is>
      </c>
      <c r="H10" s="4" t="inlineStr">
        <is>
          <t>Tamamlandı</t>
        </is>
      </c>
      <c r="I10" s="7" t="inlineStr"/>
      <c r="J10" s="8" t="inlineStr"/>
      <c r="K10" s="7" t="inlineStr">
        <is>
          <t>İlk çalışmada bulgu: LaLiga Levante-Athletic 16.09 hiç notlanmamış (football-data/ESPN'de yok → ertelenmiş ya da hayalet fikstür). Uyarılar: GitHub → Actions → çalışma özeti.</t>
        </is>
      </c>
      <c r="L10" s="19" t="n">
        <v>46291</v>
      </c>
      <c r="M10" s="19" t="n">
        <v>46291</v>
      </c>
      <c r="N10" s="7" t="inlineStr">
        <is>
          <t>da16191 — scripts/validate_data.py: hata (yayını durdurur) + uyarı (Actions özeti) kontrolleri, test_validate_data.py 7 senaryo; CI'da yeşil | 952d698 — botun push öncesi rebase'i (çift push'ta kırmızı düşen çalışmalar)</t>
        </is>
      </c>
    </row>
    <row r="11">
      <c r="A11" s="4" t="n">
        <v>7</v>
      </c>
      <c r="B11" s="5" t="inlineStr">
        <is>
          <t>1 - Teknik: Veri Doğruluğu</t>
        </is>
      </c>
      <c r="C11" s="6" t="inlineStr">
        <is>
          <t>Otomatik testlerin güncellenmesi</t>
        </is>
      </c>
      <c r="D11" s="7" t="inlineStr">
        <is>
          <t>scripts/test_paper_betting.py 10. ve sonraki testler eski Sanal Kasa ekranını kontrol ediyor ve başarısız; yeni tasarıma göre güncellenmeli.</t>
        </is>
      </c>
      <c r="E11" s="7" t="inlineStr">
        <is>
          <t>Öneri (Claude - kod tabanından)</t>
        </is>
      </c>
      <c r="F11" s="4" t="inlineStr">
        <is>
          <t>Düşük</t>
        </is>
      </c>
      <c r="G11" s="4" t="inlineStr">
        <is>
          <t>Faz 1</t>
        </is>
      </c>
      <c r="H11" s="4" t="inlineStr">
        <is>
          <t>Tamamlandı</t>
        </is>
      </c>
      <c r="I11" s="7" t="inlineStr">
        <is>
          <t>Claude (Murat)</t>
        </is>
      </c>
      <c r="J11" s="8" t="inlineStr"/>
      <c r="K11" s="7" t="inlineStr">
        <is>
          <t>TEST 10 menü (4 sekme), 12 Güven Payı motoru, 13 Sanal Kasa ekranı + kilitleme + Tab, 14 kapatılan kasa yeniden aç/sil + senkron, 16 üst menü TR/EN/NL taşma. Gizli sekmelerin eski ekran testleri (sim-kupon, rec, cpn) kaldırıldı. 34 kontrol geçiyor.</t>
        </is>
      </c>
      <c r="L11" s="19" t="n">
        <v>46291</v>
      </c>
      <c r="M11" s="19" t="n">
        <v>46291</v>
      </c>
      <c r="N11" s="7" t="inlineStr">
        <is>
          <t>905890e — scripts/test_paper_betting.py testleri 10-16 yeniden yazıldı | 58059dd — kalan 4 test paketi de düzeltildi (dil sabitleme, kalkan vurgu seçici, X2 %78, Belçika sonrası toplam), 3 eski test silindi; scripts/run_tests.py ile 5/5 geçiyor</t>
        </is>
      </c>
    </row>
    <row r="12">
      <c r="A12" s="4" t="n">
        <v>8</v>
      </c>
      <c r="B12" s="9" t="inlineStr">
        <is>
          <t>2 - Arayüz: Kullanılabilirlik &amp; Profesyonel Görünüm</t>
        </is>
      </c>
      <c r="C12" s="6" t="inlineStr">
        <is>
          <t>Rakip siteleri inceleyerek iyi yön analizi</t>
        </is>
      </c>
      <c r="D12" s="7" t="inlineStr">
        <is>
          <t>Benzer tahmin/istatistik sitelerinin güçlü yanlarının (sunum, filtreleme, güven göstergesi, mobil deneyim) listelenmesi ve BETAVUS'a uygulanabilecek maddelerin çıkarılması. Faz 2'nin yol haritasını belirler.</t>
        </is>
      </c>
      <c r="E12" s="7" t="inlineStr">
        <is>
          <t>Ekip listesi (Gökhan)</t>
        </is>
      </c>
      <c r="F12" s="4" t="inlineStr">
        <is>
          <t>Yüksek</t>
        </is>
      </c>
      <c r="G12" s="4" t="inlineStr">
        <is>
          <t>Faz 2</t>
        </is>
      </c>
      <c r="H12" s="4" t="inlineStr">
        <is>
          <t>Tamamlandı</t>
        </is>
      </c>
      <c r="I12" s="7" t="inlineStr"/>
      <c r="J12" s="8" t="inlineStr"/>
      <c r="K12" s="7" t="inlineStr">
        <is>
          <t>Çıkan öneriler: #9, #10, #17 gün şeridi, #18 biten maç tahmin yanında, #19 olasılık çubuğu; telefonda alt menü → #16.</t>
        </is>
      </c>
      <c r="L12" s="19" t="n">
        <v>46291</v>
      </c>
      <c r="M12" s="19" t="n">
        <v>46291</v>
      </c>
      <c r="N12" s="7" t="inlineStr">
        <is>
          <t>8199d3a — docs/rakip-analizi.md: 9 site masaüstü+telefon incelendi; korunacaklar, uygulanacaklar (öncelikli), yapılmamalılar</t>
        </is>
      </c>
    </row>
    <row r="13">
      <c r="A13" s="4" t="n">
        <v>9</v>
      </c>
      <c r="B13" s="9" t="inlineStr">
        <is>
          <t>2 - Arayüz: Kullanılabilirlik &amp; Profesyonel Görünüm</t>
        </is>
      </c>
      <c r="C13" s="6" t="inlineStr">
        <is>
          <t>Lig filtre görselini düzelt</t>
        </is>
      </c>
      <c r="D13" s="7" t="inlineStr">
        <is>
          <t>Lig filtresinin görünümü ve kullanımının iyileştirilmesi (hizalama, seçili durum, mobilde kullanım).</t>
        </is>
      </c>
      <c r="E13" s="7" t="inlineStr">
        <is>
          <t>Ekip listesi (Gökhan)</t>
        </is>
      </c>
      <c r="F13" s="4" t="inlineStr">
        <is>
          <t>Orta</t>
        </is>
      </c>
      <c r="G13" s="4" t="inlineStr">
        <is>
          <t>Faz 2</t>
        </is>
      </c>
      <c r="H13" s="4" t="inlineStr">
        <is>
          <t>Tamamlandı</t>
        </is>
      </c>
      <c r="I13" s="7" t="inlineStr"/>
      <c r="J13" s="8" t="inlineStr"/>
      <c r="K13" s="7" t="inlineStr">
        <is>
          <t>26.09: bayraklı düğme şeridi denendi, Murat'ın isteğiyle geri alındı (b4e7365). Açılır liste eski hâlinde; yeni yön konuşulacak. | Murat onayladı.</t>
        </is>
      </c>
      <c r="L13" s="19" t="n">
        <v>46291</v>
      </c>
      <c r="M13" s="19" t="n">
        <v>46291</v>
      </c>
      <c r="N13" s="7" t="inlineStr">
        <is>
          <t>1d8c5d2 — 'Tüm ligler' açılır listesi modern panel (bayrak, maç sayısı, seçili işaret; telefonda alttan açılır), Fikstür + İstatistikler</t>
        </is>
      </c>
    </row>
    <row r="14">
      <c r="A14" s="4" t="n">
        <v>10</v>
      </c>
      <c r="B14" s="9" t="inlineStr">
        <is>
          <t>2 - Arayüz: Kullanılabilirlik &amp; Profesyonel Görünüm</t>
        </is>
      </c>
      <c r="C14" s="6" t="inlineStr">
        <is>
          <t>Ana sayfa arka planını geliştir</t>
        </is>
      </c>
      <c r="D14" s="7" t="inlineStr">
        <is>
          <t>Ana sayfa arka planının daha profesyonel hale getirilmesi; açık/koyu tema ve mobilde kontrol.</t>
        </is>
      </c>
      <c r="E14" s="7" t="inlineStr">
        <is>
          <t>Ekip listesi (Gökhan)</t>
        </is>
      </c>
      <c r="F14" s="4" t="inlineStr">
        <is>
          <t>Orta</t>
        </is>
      </c>
      <c r="G14" s="4" t="inlineStr">
        <is>
          <t>Faz 2</t>
        </is>
      </c>
      <c r="H14" s="4" t="inlineStr">
        <is>
          <t>Tamamlandı</t>
        </is>
      </c>
      <c r="I14" s="7" t="inlineStr"/>
      <c r="J14" s="8" t="inlineStr"/>
      <c r="K14" s="7" t="inlineStr">
        <is>
          <t>5 seçenek (A marka şeritleri, B yumuşak ışık, C taktik saha, D kümülatif artış, E saha+artış) önizlendi; Murat C'yi seçti. Esin: Hudl StatsBomb, Stats Perform, Understat, Opta Analyst. | 26.09: saha + top çizimi Murat'ın isteğiyle şimdilik kaldırıldı (483d0a9); geri almak için f0a4928.</t>
        </is>
      </c>
      <c r="L14" s="19" t="n">
        <v>46291</v>
      </c>
      <c r="M14" s="19" t="n">
        <v>46291</v>
      </c>
      <c r="N14" s="7" t="inlineStr">
        <is>
          <t>1076a19 — seçenek C 'taktik saha' (silik saha, pas okları, şut noktaları, radar); açık/koyu tema, 1366/820/390 px kontrol | f0a4928 — futbol topu eklendi (C1: şut çekilmiş top)</t>
        </is>
      </c>
    </row>
    <row r="15">
      <c r="A15" s="4" t="n">
        <v>11</v>
      </c>
      <c r="B15" s="9" t="inlineStr">
        <is>
          <t>2 - Arayüz: Kullanılabilirlik &amp; Profesyonel Görünüm</t>
        </is>
      </c>
      <c r="C15" s="6" t="inlineStr">
        <is>
          <t>Mobil görünüm kontrolü</t>
        </is>
      </c>
      <c r="D15" s="7" t="inlineStr">
        <is>
          <t>Sanal Kasa kutucuklarında daha önce görülen taşma sorununun yeni tasarımda kontrolü; tüm sekmelerin telefon genişliğinde incelenmesi.</t>
        </is>
      </c>
      <c r="E15" s="7" t="inlineStr">
        <is>
          <t>Öneri (Claude - kod tabanından)</t>
        </is>
      </c>
      <c r="F15" s="4" t="inlineStr">
        <is>
          <t>Orta</t>
        </is>
      </c>
      <c r="G15" s="4" t="inlineStr">
        <is>
          <t>Faz 2</t>
        </is>
      </c>
      <c r="H15" s="4" t="inlineStr">
        <is>
          <t>Tamamlandı</t>
        </is>
      </c>
      <c r="I15" s="7" t="inlineStr"/>
      <c r="J15" s="8" t="inlineStr"/>
      <c r="K15" s="7" t="inlineStr">
        <is>
          <t>Bulgu → #16 (mobilde üst başlık alanı). TR sayı biçimi tutarsızlığı (91.9% / %91,9) #13 kapsamında.</t>
        </is>
      </c>
      <c r="L15" s="19" t="n">
        <v>46291</v>
      </c>
      <c r="M15" s="19" t="n">
        <v>46291</v>
      </c>
      <c r="N15" s="7" t="inlineStr">
        <is>
          <t>80c00f6 — 3 dil × 360/390/414 px × 4 sekme otomatik tarandı (yatay taşma yok) + ekran görüntüleri incelendi; Sanal Kasa günlük tablosunda Gün sütunu yatay kaydırmada sabitlendi</t>
        </is>
      </c>
    </row>
    <row r="16">
      <c r="A16" s="4" t="n">
        <v>12</v>
      </c>
      <c r="B16" s="9" t="inlineStr">
        <is>
          <t>2 - Arayüz: Kullanılabilirlik &amp; Profesyonel Görünüm</t>
        </is>
      </c>
      <c r="C16" s="6" t="inlineStr">
        <is>
          <t>"Hesabımı sil" butonu</t>
        </is>
      </c>
      <c r="D16" s="7" t="inlineStr">
        <is>
          <t>Gizlilik sayfası hesap silmenin mümkün olduğunu söylüyor ama bir yol göstermiyor; Supabase'de SQL fonksiyonu + buton gerekli.</t>
        </is>
      </c>
      <c r="E16" s="7" t="inlineStr">
        <is>
          <t>Öneri (Claude - kod tabanından)</t>
        </is>
      </c>
      <c r="F16" s="4" t="inlineStr">
        <is>
          <t>Orta</t>
        </is>
      </c>
      <c r="G16" s="4" t="inlineStr">
        <is>
          <t>Faz 2</t>
        </is>
      </c>
      <c r="H16" s="4" t="inlineStr">
        <is>
          <t>Tamamlandı</t>
        </is>
      </c>
      <c r="I16" s="7" t="inlineStr"/>
      <c r="J16" s="8" t="inlineStr"/>
      <c r="K16" s="7" t="inlineStr">
        <is>
          <t>26.09: supabase/hesap_silme.sql Supabase SQL Editor'de çalıştırıldı; canlıda doğrulandı (giriş yapmadan çağrı 'permission denied' veriyor = fonksiyon kurulu, yetki kısıtı doğru). Gerçek bir hesapla uçtan uca deneme henüz yapılmadı.</t>
        </is>
      </c>
      <c r="L16" s="19" t="n">
        <v>46291</v>
      </c>
      <c r="M16" s="19" t="n">
        <v>46291</v>
      </c>
      <c r="N16" s="7" t="inlineStr">
        <is>
          <t>27f7107 — Hesabım &gt; Hesabımı sil (kullanıcı adı onaylı, 'bu cihazdaki verileri de sil' seçeneği), supabase/hesap_silme.sql, gizlilik sayfası TR/EN/NL, test_delete_account.py 3 senaryo; canlıya yayında</t>
        </is>
      </c>
    </row>
    <row r="17">
      <c r="A17" s="4" t="n">
        <v>13</v>
      </c>
      <c r="B17" s="9" t="inlineStr">
        <is>
          <t>2 - Arayüz: Kullanılabilirlik &amp; Profesyonel Görünüm</t>
        </is>
      </c>
      <c r="C17" s="6" t="inlineStr">
        <is>
          <t>Hollandaca çevirilerin gözden geçirilmesi</t>
        </is>
      </c>
      <c r="D17" s="7" t="inlineStr">
        <is>
          <t>NL metinlerinin anadili Hollandaca olan biri tarafından kontrolü.</t>
        </is>
      </c>
      <c r="E17" s="7" t="inlineStr">
        <is>
          <t>Öneri (Claude - kod tabanından)</t>
        </is>
      </c>
      <c r="F17" s="4" t="inlineStr">
        <is>
          <t>Düşük</t>
        </is>
      </c>
      <c r="G17" s="4" t="inlineStr">
        <is>
          <t>Faz 2</t>
        </is>
      </c>
      <c r="H17" s="4" t="inlineStr">
        <is>
          <t>Tamamlandı</t>
        </is>
      </c>
      <c r="I17" s="7" t="inlineStr"/>
      <c r="J17" s="8" t="inlineStr"/>
      <c r="K17" s="7" t="inlineStr">
        <is>
          <t>Anadili Hollandaca biri isterse ayrıca üslup kontrolü yapabilir; bariz hata kalmadı. TR'de tablo yüzdeleri '95.9%', şeritte '%91,9' — i18n.js'te bilinçli 'Türkçe görünüm değişmez' kararı, değiştirilmedi.</t>
        </is>
      </c>
      <c r="L17" s="19" t="n">
        <v>46291</v>
      </c>
      <c r="M17" s="19" t="n">
        <v>46291</v>
      </c>
      <c r="N17" s="7" t="inlineStr">
        <is>
          <t>907518a — NL/EN otomatik tarama (sekmeler + maç detayı + giriş penceresi): çevrilmemiş metin yok; 399 NL girişi okundu, 4 hata düzeltildi (puan tablosu 'G' çakışması, trefkans→trefpercentage, Totale start/sluiting, yaş mesajı 3 dilde)</t>
        </is>
      </c>
    </row>
    <row r="18">
      <c r="A18" s="4" t="n">
        <v>14</v>
      </c>
      <c r="B18" s="9" t="inlineStr">
        <is>
          <t>2 - Arayüz: Kullanılabilirlik &amp; Profesyonel Görünüm</t>
        </is>
      </c>
      <c r="C18" s="6" t="inlineStr">
        <is>
          <t>Kapatılan kasayı yeniden aç / sil</t>
        </is>
      </c>
      <c r="D18" s="7" t="inlineStr">
        <is>
          <t>Yanlışlıkla oluşturulan veya hatalı girilen kasalar için Kapatılan Kasalar listesinde "Yeniden aç" (düzeltip tekrar kapatma) ve "Sil" butonları; senkronizasyonda silinen kasa geri gelmez.</t>
        </is>
      </c>
      <c r="E18" s="7" t="inlineStr">
        <is>
          <t>Murat</t>
        </is>
      </c>
      <c r="F18" s="4" t="inlineStr">
        <is>
          <t>Orta</t>
        </is>
      </c>
      <c r="G18" s="4" t="inlineStr">
        <is>
          <t>Faz 2</t>
        </is>
      </c>
      <c r="H18" s="4" t="inlineStr">
        <is>
          <t>Tamamlandı</t>
        </is>
      </c>
      <c r="I18" s="7" t="inlineStr">
        <is>
          <t>Claude (Murat)</t>
        </is>
      </c>
      <c r="J18" s="8" t="n"/>
      <c r="K18" s="7" t="inlineStr">
        <is>
          <t>26.09 Murat: kapatıldı.</t>
        </is>
      </c>
      <c r="L18" s="19" t="n">
        <v>46291</v>
      </c>
      <c r="M18" s="19" t="n">
        <v>46291</v>
      </c>
      <c r="N18" s="7" t="inlineStr">
        <is>
          <t>f3e7679 — (js/paper_engine.js reopenClosedPlan/deleteClosedPlan, js/auth_sync.js)</t>
        </is>
      </c>
    </row>
    <row r="19">
      <c r="A19" s="4" t="n">
        <v>15</v>
      </c>
      <c r="B19" s="9" t="inlineStr">
        <is>
          <t>2 - Arayüz: Kullanılabilirlik &amp; Profesyonel Görünüm</t>
        </is>
      </c>
      <c r="C19" s="6" t="inlineStr">
        <is>
          <t>NL dilinde üst menü taşması</t>
        </is>
      </c>
      <c r="D19" s="7" t="inlineStr">
        <is>
          <t>Hollandaca seçiliyken 1280 px genişlikte üst menüdeki hesap butonu sayfayı ~80 px yatay taşırıyor (tüm sekmelerde). Test sırasında bulundu.</t>
        </is>
      </c>
      <c r="E19" s="7" t="inlineStr">
        <is>
          <t>Öneri (Claude - test sırasında)</t>
        </is>
      </c>
      <c r="F19" s="4" t="inlineStr">
        <is>
          <t>Düşük</t>
        </is>
      </c>
      <c r="G19" s="4" t="inlineStr">
        <is>
          <t>Faz 2</t>
        </is>
      </c>
      <c r="H19" s="4" t="inlineStr">
        <is>
          <t>Tamamlandı</t>
        </is>
      </c>
      <c r="I19" s="7" t="inlineStr">
        <is>
          <t>Claude (Murat)</t>
        </is>
      </c>
      <c r="J19" s="8" t="n"/>
      <c r="K19" s="7" t="inlineStr">
        <is>
          <t>Tüm dillerde: menü sığmazsa önce kompakt (alt yazılar gizli), yine sığmazsa iki satır. EN artık tek satır, NL geniş ekranda iki satır; hiçbir genişlikte yatay taşma yok.</t>
        </is>
      </c>
      <c r="L19" s="19" t="n">
        <v>46291</v>
      </c>
      <c r="M19" s="19" t="n">
        <v>46291</v>
      </c>
      <c r="N19" s="7" t="inlineStr">
        <is>
          <t>add4e73 — üst menü sığdırma (compact/wrapped) + NL Wedstrijden</t>
        </is>
      </c>
    </row>
    <row r="20">
      <c r="A20" s="4" t="n">
        <v>16</v>
      </c>
      <c r="B20" s="9" t="inlineStr">
        <is>
          <t>2 - Arayüz: Kullanılabilirlik &amp; Profesyonel Görünüm</t>
        </is>
      </c>
      <c r="C20" s="6" t="inlineStr">
        <is>
          <t>Mobilde üst başlık alanını küçült</t>
        </is>
      </c>
      <c r="D20" s="7" t="inlineStr">
        <is>
          <t>Telefonda (360 px) üst bar + sekmeler (~165 px) ve 'Betting Analysis, Variance &amp; Uncertainty System' bandı + 3 özellik çipi (~140 px) her sekmede tekrar ediyor; ilk içerik ekranın ~%40'ından sonra başlıyor. Öneri: telefonda bant/çipleri yalnızca Fikstür'de göster veya tek satıra indir. Ayrıca TR arayüzde çipler İngilizce (AI-powered vb.) — bilinçli mi?</t>
        </is>
      </c>
      <c r="E20" s="7" t="inlineStr">
        <is>
          <t>Claude (#11 mobil kontrolden)</t>
        </is>
      </c>
      <c r="F20" s="4" t="inlineStr">
        <is>
          <t>Orta</t>
        </is>
      </c>
      <c r="G20" s="4" t="inlineStr">
        <is>
          <t>Faz 2</t>
        </is>
      </c>
      <c r="H20" s="4" t="inlineStr">
        <is>
          <t>Tamamlandı</t>
        </is>
      </c>
      <c r="I20" s="7" t="n"/>
      <c r="J20" s="8" t="n"/>
      <c r="K20" s="7" t="inlineStr">
        <is>
          <t>#8 rakip analizi: Forebet telefonda sekmeleri alt menü çubuğuna almış; üst başlık küçülür, sekmeler başparmak altında.</t>
        </is>
      </c>
      <c r="L20" s="19" t="n">
        <v>46291</v>
      </c>
      <c r="M20" s="19" t="n">
        <v>46291</v>
      </c>
      <c r="N20" s="7" t="inlineStr">
        <is>
          <t>0ace88d — telefonda menü 165→96 px, başlık bandı yalnız Fikstür'de; İstatistikler/FAQ ilk içerik 321→100 px</t>
        </is>
      </c>
    </row>
    <row r="21">
      <c r="A21" s="4" t="n">
        <v>17</v>
      </c>
      <c r="B21" s="9" t="inlineStr">
        <is>
          <t>2 - Arayüz: Kullanılabilirlik &amp; Profesyonel Görünüm</t>
        </is>
      </c>
      <c r="C21" s="6" t="inlineStr">
        <is>
          <t>Fikstür'de gün şeridi</t>
        </is>
      </c>
      <c r="D21" s="7" t="inlineStr">
        <is>
          <t>'Tüm günler' takvim butonu yerine Bugün · Yarın · Cmt · Paz … düğmeleri, her günün maç sayısıyla (PredictZ, WinDrawWin, Over25Tips, Forebet). Bir dokunuşla gün seçimi.</t>
        </is>
      </c>
      <c r="E21" s="7" t="inlineStr">
        <is>
          <t>Claude (#8 rakip analizi)</t>
        </is>
      </c>
      <c r="F21" s="4" t="inlineStr">
        <is>
          <t>Orta</t>
        </is>
      </c>
      <c r="G21" s="4" t="inlineStr">
        <is>
          <t>Faz 2</t>
        </is>
      </c>
      <c r="H21" s="4" t="inlineStr">
        <is>
          <t>Tamamlandı</t>
        </is>
      </c>
      <c r="I21" s="7" t="n"/>
      <c r="J21" s="8" t="n"/>
      <c r="K21" s="7" t="inlineStr">
        <is>
          <t>Murat onayladı (26.09).</t>
        </is>
      </c>
      <c r="L21" s="19" t="n">
        <v>46291</v>
      </c>
      <c r="M21" s="19" t="n">
        <v>46291</v>
      </c>
      <c r="N21" s="7" t="inlineStr">
        <is>
          <t>f7c1a29</t>
        </is>
      </c>
    </row>
    <row r="22">
      <c r="A22" s="4" t="n">
        <v>18</v>
      </c>
      <c r="B22" s="9" t="inlineStr">
        <is>
          <t>2 - Arayüz: Kullanılabilirlik &amp; Profesyonel Görünüm</t>
        </is>
      </c>
      <c r="C22" s="6" t="inlineStr">
        <is>
          <t>Biten maçı tahminin yanında göster</t>
        </is>
      </c>
      <c r="D22" s="7" t="inlineStr">
        <is>
          <t>Fikstür'de oynanmış maçın skoru ve vurgunun tutup tutmadığı aynı satırda (Forebet). Geçmiş performans şeridini her maçta somutlaştırır. #4 ile birlikte düşünülmeli.</t>
        </is>
      </c>
      <c r="E22" s="7" t="inlineStr">
        <is>
          <t>Claude (#8 rakip analizi)</t>
        </is>
      </c>
      <c r="F22" s="4" t="inlineStr">
        <is>
          <t>Orta</t>
        </is>
      </c>
      <c r="G22" s="4" t="inlineStr">
        <is>
          <t>Faz 2</t>
        </is>
      </c>
      <c r="H22" s="4" t="inlineStr">
        <is>
          <t>Tamamlandı</t>
        </is>
      </c>
      <c r="I22" s="7" t="n"/>
      <c r="J22" s="8" t="n"/>
      <c r="K22" s="7" t="inlineStr">
        <is>
          <t>Murat onayladı (26.09).</t>
        </is>
      </c>
      <c r="L22" s="19" t="n">
        <v>46291</v>
      </c>
      <c r="M22" s="19" t="n">
        <v>46291</v>
      </c>
      <c r="N22" s="7" t="inlineStr">
        <is>
          <t>f7c1a29</t>
        </is>
      </c>
    </row>
    <row r="23">
      <c r="A23" s="4" t="n">
        <v>19</v>
      </c>
      <c r="B23" s="9" t="inlineStr">
        <is>
          <t>2 - Arayüz: Kullanılabilirlik &amp; Profesyonel Görünüm</t>
        </is>
      </c>
      <c r="C23" s="6" t="inlineStr">
        <is>
          <t>Maç detayında olasılık çubuğu</t>
        </is>
      </c>
      <c r="D23" s="7" t="inlineStr">
        <is>
          <t>Yüzdelerin yanında ince çubuk (ThePuntersPage 1-X-2 çubuğu, Adam Choi yüzde çubuğu); bir bakışta okunur.</t>
        </is>
      </c>
      <c r="E23" s="7" t="inlineStr">
        <is>
          <t>Claude (#8 rakip analizi)</t>
        </is>
      </c>
      <c r="F23" s="4" t="inlineStr">
        <is>
          <t>Düşük</t>
        </is>
      </c>
      <c r="G23" s="4" t="inlineStr">
        <is>
          <t>Faz 2</t>
        </is>
      </c>
      <c r="H23" s="4" t="inlineStr">
        <is>
          <t>Tamamlandı</t>
        </is>
      </c>
      <c r="I23" s="7" t="n"/>
      <c r="J23" s="8" t="n"/>
      <c r="K23" s="7" t="inlineStr">
        <is>
          <t>Murat onayladı (26.09).</t>
        </is>
      </c>
      <c r="L23" s="19" t="n">
        <v>46291</v>
      </c>
      <c r="M23" s="19" t="n">
        <v>46291</v>
      </c>
      <c r="N23" s="7" t="inlineStr">
        <is>
          <t>f7c1a29</t>
        </is>
      </c>
    </row>
    <row r="24">
      <c r="A24" s="4" t="n">
        <v>20</v>
      </c>
      <c r="B24" s="9" t="inlineStr">
        <is>
          <t>1 - Teknik: Veri Doğruluğu</t>
        </is>
      </c>
      <c r="C24" s="6" t="inlineStr">
        <is>
          <t>Gol pazarları (0.5+/1.5+) için gerçek oran verisi</t>
        </is>
      </c>
      <c r="D24" s="7" t="inlineStr">
        <is>
          <t>Kupon önerisine gol kuponu eklemek için 0.5/1.5 Üst gerçek kapanış oranları gerekli (football-data'da yok). Aday: Footiqo tüm ligler veri seti €59,99 (1xBet kapanış, 2015/16+, O05/O15 sütunları doğrulandı). OddsPapi yalnız 2026+. Veri gelince tune_coupon_profiles ile gerçek oranlı test, sonra kartta Gol kuponu satırı.</t>
        </is>
      </c>
      <c r="E24" s="7" t="inlineStr">
        <is>
          <t>Murat (26.09)</t>
        </is>
      </c>
      <c r="F24" s="4" t="inlineStr">
        <is>
          <t>Orta</t>
        </is>
      </c>
      <c r="G24" s="4" t="inlineStr">
        <is>
          <t>Faz 1</t>
        </is>
      </c>
      <c r="H24" s="4" t="inlineStr">
        <is>
          <t>Test</t>
        </is>
      </c>
      <c r="I24" s="7" t="n"/>
      <c r="J24" s="8" t="n"/>
      <c r="K24" s="7" t="inlineStr">
        <is>
          <t>PARK EDİLDİ (26.09, Murat): satın alma kararı bekliyor, Murat geri dönecek. | 27.09: Ücretsiz geçmiş 0.5/1.5 oran kaynağı bulunamadı (Kaggle/football-data.org/SharpAPI yok). Ücretsiz ileriye dönük seçenek: 5dollarfootballapi.com (Bet365 O0.5–9.5, yalnız 26.09.2026'dan beri, ücretsiz planda büyük 5 lig, maç başına sorgu). Murat hesap açıp anahtarı GitHub secret FIVEDOLLAR_API_KEY olarak eklerse bot bağlanacak. Alternatif: Footiqo €59,99 geçmiş veri. | 27.09 12:09 UTC: FIVEDOLLAR_API_KEY Actions secret'ı eklendi (doğrulandı). Sıradaki adım: bota 5DollarFootballAPI O0.5/O1.5 çekme adımı eklemek. | 27.09: bot bağlandı (95957ef, 7d27614): scripts/fetch_goal_odds.py saatte ≤40 istek, 5 lig kimliği bulundu, oranlar data/goal-odds.json, kupon 0.5+/1.5+ için gerçek Bet365 oranını kullanıyor. Uluslararası ara: ilk gerçek oranlar 9–10 Ekim maçlarında; o hafta goal-odds.json dolu mu ve kuponda "tahmini" yazısı kalkıyor mu kontrol edilecek, sonra Tamamlandı.</t>
        </is>
      </c>
      <c r="L24" s="19" t="n">
        <v>46291</v>
      </c>
      <c r="M24" s="19" t="n"/>
      <c r="N24" s="7" t="inlineStr">
        <is>
          <t>95957ef + 7d27614 Bet365 O0.5/O1.5 çekme adımı + kupona bağlama</t>
        </is>
      </c>
    </row>
    <row r="25">
      <c r="A25" s="4" t="n">
        <v>21</v>
      </c>
      <c r="B25" s="9" t="inlineStr">
        <is>
          <t>1 - Teknik: Veri Doğruluğu</t>
        </is>
      </c>
      <c r="C25" s="6" t="inlineStr">
        <is>
          <t>Kupon önerisi: kasa hedef oranına göre kupon kur</t>
        </is>
      </c>
      <c r="D25" s="7" t="inlineStr">
        <is>
          <t>Sanal Kasa günlük büyüme hedefi için gereken oran (1 + hedef / kupon payı: Minimum 1,40 · Orta 1,30 · Yüksek 1,50) önerilen kuponlardan yüksek (1,07 / 1,23 / 1,38). Kasanın risk profiline göre gereken orana ulaşana kadar maç ekleyen kupon; kuralın geçmiş tutma oranı ve getirisi gerçek oranlarla gösterilir (beklenti eksi olabilir, açıkça yazılır).</t>
        </is>
      </c>
      <c r="E25" s="7" t="inlineStr">
        <is>
          <t>Murat (26.09)</t>
        </is>
      </c>
      <c r="F25" s="4" t="inlineStr">
        <is>
          <t>Yüksek</t>
        </is>
      </c>
      <c r="G25" s="4" t="inlineStr">
        <is>
          <t>Faz 1</t>
        </is>
      </c>
      <c r="H25" s="4" t="inlineStr">
        <is>
          <t>Tamamlandı</t>
        </is>
      </c>
      <c r="I25" s="7" t="n"/>
      <c r="J25" s="8" t="n"/>
      <c r="K25" s="7" t="inlineStr">
        <is>
          <t>Murat onayladı. İlk 'geçmiş öneriler' sonuçları 9-10 Ekim maçlarından sonra. 0.5+/1.5+ oranları tahmini (#20).</t>
        </is>
      </c>
      <c r="L25" s="19" t="n">
        <v>46291</v>
      </c>
      <c r="M25" s="19" t="n">
        <v>46291</v>
      </c>
      <c r="N25" s="7" t="inlineStr">
        <is>
          <t>aa45446 — tüm vurgulu tahminlerden hedef orana ulaşan en olası kupon (≤5 maç), bot günlük kurar/dondurur/sonuçlandırır (data/coupons.json), kartta geçmiş öneriler</t>
        </is>
      </c>
    </row>
    <row r="26">
      <c r="A26" s="4" t="n">
        <v>22</v>
      </c>
      <c r="B26" s="9" t="inlineStr">
        <is>
          <t>1 - Teknik: Veri Doğruluğu</t>
        </is>
      </c>
      <c r="C26" s="6" t="inlineStr">
        <is>
          <t>Kupa maçlarını Fikstür'e yalnız 0.5+ vurgusuyla eklemek</t>
        </is>
      </c>
      <c r="D26" s="7" t="inlineStr">
        <is>
          <t>#5 backtest'ine göre kupalarda yalnız 0.5+ vurgusu lig seviyesinde tutuyor (243 vurgu, %95,9). Öneri: iki takımı da 10 ligimizden olan kupa maçlarını Fikstür'e 'Kupa' etiketiyle eklemek; yalnız 0.5+ vurgulanır, diğer olasılıklar gösterilir ama vurgulanmaz. Fikstür kaynağı ESPN (scripts/fetch_euro_results.py genişletilir), model scripts/tune_euro_backtest.py'deki lig katsayılı model.</t>
        </is>
      </c>
      <c r="E26" s="7" t="inlineStr">
        <is>
          <t>Claude (#5 backtest'ten)</t>
        </is>
      </c>
      <c r="F26" s="4" t="inlineStr">
        <is>
          <t>Orta</t>
        </is>
      </c>
      <c r="G26" s="4" t="inlineStr">
        <is>
          <t>Faz 1</t>
        </is>
      </c>
      <c r="H26" s="4" t="inlineStr">
        <is>
          <t>Öneri</t>
        </is>
      </c>
      <c r="I26" s="7" t="n"/>
      <c r="J26" s="8" t="n"/>
      <c r="K26" s="7" t="n"/>
      <c r="L26" s="19" t="n">
        <v>46291</v>
      </c>
      <c r="M26" s="19" t="n"/>
      <c r="N26" s="7" t="n"/>
    </row>
    <row r="27">
      <c r="A27" s="4" t="n">
        <v>23</v>
      </c>
      <c r="B27" s="9" t="inlineStr">
        <is>
          <t>2 - Arayüz: Kullanılabilirlik &amp; Profesyonel Görünüm</t>
        </is>
      </c>
      <c r="C27" s="6" t="inlineStr">
        <is>
          <t>Tutar girilince kilitleme uyarısı</t>
        </is>
      </c>
      <c r="D27" s="7" t="inlineStr">
        <is>
          <t>Sanal Kasa tablosuna tutar girilince kilitleme gerekiyorsa, Güven Payı kartı yukarıda kaldığı için kullanıcı görmüyordu; ekranın altında uyarı + tek dokunuşla kilitle.</t>
        </is>
      </c>
      <c r="E27" s="7" t="inlineStr">
        <is>
          <t>Murat (27.09)</t>
        </is>
      </c>
      <c r="F27" s="4" t="inlineStr">
        <is>
          <t>Yüksek</t>
        </is>
      </c>
      <c r="G27" s="4" t="inlineStr">
        <is>
          <t>Faz 2</t>
        </is>
      </c>
      <c r="H27" s="4" t="inlineStr">
        <is>
          <t>Tamamlandı</t>
        </is>
      </c>
      <c r="I27" s="7" t="n"/>
      <c r="J27" s="8" t="n"/>
      <c r="K27" s="7" t="n"/>
      <c r="L27" s="19" t="n">
        <v>46292</v>
      </c>
      <c r="M27" s="19" t="n">
        <v>46292</v>
      </c>
      <c r="N27" s="7" t="inlineStr">
        <is>
          <t>3e65649 — tabloya tutar girilince kilitleme önerisi ekranın altında (kilitle / Güven Payı / kapat)</t>
        </is>
      </c>
    </row>
    <row r="28">
      <c r="A28" s="4" t="n">
        <v>24</v>
      </c>
      <c r="B28" s="9" t="inlineStr">
        <is>
          <t>2 - Arayüz: Kullanılabilirlik &amp; Profesyonel Görünüm</t>
        </is>
      </c>
      <c r="C28" s="6" t="inlineStr">
        <is>
          <t>Kupon kartı: sabit kurallar kaldır, shuffle ekle</t>
        </is>
      </c>
      <c r="D28" s="7" t="inlineStr">
        <is>
          <t>Kartta yalnız kasa hedefine göre kupon kalsın; 'Başka kombinasyon' ile aynı risk için farklı kupon kombinasyonları gezilebilsin. Tutma olasılığını yükseltme denemesi (geçmiş isabete göre seçim) test edildi, fark gürültü düzeyinde.</t>
        </is>
      </c>
      <c r="E28" s="7" t="inlineStr">
        <is>
          <t>Murat (27.09)</t>
        </is>
      </c>
      <c r="F28" s="4" t="inlineStr">
        <is>
          <t>Yüksek</t>
        </is>
      </c>
      <c r="G28" s="4" t="inlineStr">
        <is>
          <t>Faz 2</t>
        </is>
      </c>
      <c r="H28" s="4" t="inlineStr">
        <is>
          <t>Tamamlandı</t>
        </is>
      </c>
      <c r="I28" s="7" t="n"/>
      <c r="J28" s="8" t="n"/>
      <c r="K28" s="7" t="n"/>
      <c r="L28" s="19" t="n">
        <v>46292</v>
      </c>
      <c r="M28" s="19" t="n">
        <v>46292</v>
      </c>
      <c r="N28" s="7" t="inlineStr">
        <is>
          <t>177795b — sabit kurallar kaldırıldı; bot gün+profil başına ≤5 kombinasyon üretir, kartta 🔀 ile gezilir | abc6d98 — maçlar alt alta numaralı liste</t>
        </is>
      </c>
    </row>
    <row r="29">
      <c r="A29" s="4" t="n">
        <v>25</v>
      </c>
      <c r="B29" s="9" t="inlineStr">
        <is>
          <t>2 - Arayüz: Kullanılabilirlik &amp; Profesyonel Görünüm</t>
        </is>
      </c>
      <c r="C29" s="6" t="inlineStr">
        <is>
          <t>Güven Payı: hedef sonrası kilitleme önerisi</t>
        </is>
      </c>
      <c r="D29" s="7" t="inlineStr">
        <is>
          <t>Hedefe ulaşılınca kilit önerisi ve düşüş uyarısı kesiliyordu; oynamaya devam edenin kazancı korumasız kalıyordu (Murat'ın tablosu: 4. günden sonra 220 € kilitli kaldı). Artık hedef bandı ışık + kilitle butonuyla birlikte görünür.</t>
        </is>
      </c>
      <c r="E29" s="7" t="inlineStr">
        <is>
          <t>Murat (27.09)</t>
        </is>
      </c>
      <c r="F29" s="4" t="inlineStr">
        <is>
          <t>Orta</t>
        </is>
      </c>
      <c r="G29" s="4" t="inlineStr">
        <is>
          <t>Faz 1</t>
        </is>
      </c>
      <c r="H29" s="4" t="inlineStr">
        <is>
          <t>Tamamlandı</t>
        </is>
      </c>
      <c r="I29" s="7" t="n"/>
      <c r="J29" s="8" t="n"/>
      <c r="K29" s="7" t="n"/>
      <c r="L29" s="19" t="n">
        <v>46292</v>
      </c>
      <c r="M29" s="19" t="n">
        <v>46292</v>
      </c>
      <c r="N29" s="7" t="inlineStr">
        <is>
          <t>9fdc18f hedefe ulaşmak artık kilit önerisini engellemiyor + test</t>
        </is>
      </c>
    </row>
    <row r="30">
      <c r="A30" s="4" t="n">
        <v>26</v>
      </c>
      <c r="B30" s="9" t="inlineStr">
        <is>
          <t>2 - Arayüz: Kullanılabilirlik &amp; Profesyonel Görünüm</t>
        </is>
      </c>
      <c r="C30" s="6" t="inlineStr">
        <is>
          <t>Futuristik görünüm + kullanıcı dostu dokunuşlar</t>
        </is>
      </c>
      <c r="D30" s="7" t="inlineStr">
        <is>
          <t>Görünüm yönü (birini seç): A Aurora (açık tema + kayan ışık, buzlu cam) / B Koyu neon (cam paneller, parıltı) / C Saha çizgisi deseni (paralaks). Kolaylıklar: 1 mobil alt menü, 2 günün öne çıkanları kartı, 3 yükleniyor iskeleti + dolan çubuklar, 4 ilk giriş rehberi. Çalışan örnekler: https://claude.ai/artifact/6t215zEcNoZUpRh4HFWzqd</t>
        </is>
      </c>
      <c r="E30" s="7" t="inlineStr">
        <is>
          <t>Murat (27.09)</t>
        </is>
      </c>
      <c r="F30" s="4" t="inlineStr">
        <is>
          <t>Orta</t>
        </is>
      </c>
      <c r="G30" s="4" t="inlineStr">
        <is>
          <t>Faz 1</t>
        </is>
      </c>
      <c r="H30" s="4" t="inlineStr">
        <is>
          <t>Tamamlandı</t>
        </is>
      </c>
      <c r="I30" s="7" t="n"/>
      <c r="J30" s="8" t="n"/>
      <c r="K30" s="7" t="inlineStr">
        <is>
          <t>Murat seçti: A Aurora + 1,2,3,4; ek istek: tüm göstergeler açılışta dolsun.</t>
        </is>
      </c>
      <c r="L30" s="19" t="n">
        <v>46292</v>
      </c>
      <c r="M30" s="19" t="n">
        <v>46292</v>
      </c>
      <c r="N30" s="7" t="inlineStr">
        <is>
          <t>43f7728 Aurora + alt menü + günün öne çıkanları + dolan göstergeler/sayaç + ilk giriş rehberi (canlıda doğrulandı)</t>
        </is>
      </c>
    </row>
    <row r="31">
      <c r="A31" s="4" t="n">
        <v>27</v>
      </c>
      <c r="B31" s="9" t="inlineStr">
        <is>
          <t>2 - Arayüz: Kullanılabilirlik &amp; Profesyonel Görünüm</t>
        </is>
      </c>
      <c r="C31" s="6" t="inlineStr">
        <is>
          <t>Fikstür başlığında dönen futbol topu + lig yörüngesi</t>
        </is>
      </c>
      <c r="D31" s="7" t="inlineStr">
        <is>
          <t>Başlığın sağında 3B dönen top (canvas, kesik ikosahedron, kütüphanesiz), etrafında 10 lig bayrağı yörüngede; bayrağa tıklayınca Fikstür o lige filtrelenir; kutularda canlı sayılar (bu ayki maç, vurgu isabeti, sıradaki gün) sayarak yükselir. Örnek: https://claude.ai/artifact/BK7JszNNrtiifGcp8ocsi2</t>
        </is>
      </c>
      <c r="E31" s="7" t="inlineStr">
        <is>
          <t>Murat (27.09, Tofiko esinli)</t>
        </is>
      </c>
      <c r="F31" s="4" t="inlineStr">
        <is>
          <t>Orta</t>
        </is>
      </c>
      <c r="G31" s="4" t="inlineStr">
        <is>
          <t>Faz 1</t>
        </is>
      </c>
      <c r="H31" s="4" t="inlineStr">
        <is>
          <t>Tamamlandı</t>
        </is>
      </c>
      <c r="I31" s="7" t="n"/>
      <c r="J31" s="8" t="n"/>
      <c r="K31" s="7" t="inlineStr">
        <is>
          <t>Murat: hızı düşür; sonra "kopuk duruyor" → yalnız Fikstür, küçük, sayı kutuları kaldırıldı (bandı tekrar ediyordu). Aynı turda Kasa Gelişim Grafiği de futuristik yapıldı (dolarak yükselen sütunlar, hedef eğrisi).</t>
        </is>
      </c>
      <c r="L31" s="19" t="n">
        <v>46292</v>
      </c>
      <c r="M31" s="19" t="n">
        <v>46292</v>
      </c>
      <c r="N31" s="7" t="inlineStr">
        <is>
          <t>77db376 + 959cbdb dönen top + lig yörüngesi (yalnız Fikstür), kasa grafiği yenilendi</t>
        </is>
      </c>
    </row>
    <row r="32">
      <c r="A32" s="4" t="n">
        <v>28</v>
      </c>
      <c r="B32" s="9" t="inlineStr">
        <is>
          <t>2 - Arayüz: Kullanılabilirlik &amp; Profesyonel Görünüm</t>
        </is>
      </c>
      <c r="C32" s="6" t="inlineStr">
        <is>
          <t>Kupon kartı: Gerçekçi beklenti ve Geçmiş öneriler kaldır</t>
        </is>
      </c>
      <c r="D32" s="7" t="inlineStr">
        <is>
          <t>Kupon önerisi kartındaki 'Gerçekçi beklenti' (1 yıllık simülasyon) ve 'Geçmiş öneriler' bölümleri kaldırılsın; kartta yalnız kupon ve özet satırı kalsın.</t>
        </is>
      </c>
      <c r="E32" s="7" t="inlineStr">
        <is>
          <t>Murat (28.09)</t>
        </is>
      </c>
      <c r="F32" s="4" t="inlineStr">
        <is>
          <t>Orta</t>
        </is>
      </c>
      <c r="G32" s="4" t="inlineStr">
        <is>
          <t>Faz 2</t>
        </is>
      </c>
      <c r="H32" s="4" t="inlineStr">
        <is>
          <t>Tamamlandı</t>
        </is>
      </c>
      <c r="I32" s="7" t="n"/>
      <c r="J32" s="8" t="n"/>
      <c r="K32" s="7" t="n"/>
      <c r="L32" s="19" t="n">
        <v>46293</v>
      </c>
      <c r="M32" s="19" t="n">
        <v>46293</v>
      </c>
      <c r="N32" s="7" t="inlineStr">
        <is>
          <t>67347ba — coupon_suggest.js: iki bölüm ve kullanılmayan simulate/ruleFor/historyHtml kaldırıldı</t>
        </is>
      </c>
    </row>
    <row r="33">
      <c r="L33" s="20" t="n"/>
    </row>
    <row r="34">
      <c r="L34" s="20" t="n"/>
    </row>
    <row r="35">
      <c r="L35" s="20" t="n"/>
    </row>
    <row r="36">
      <c r="L36" s="20" t="n"/>
    </row>
    <row r="37">
      <c r="L37" s="20" t="n"/>
    </row>
    <row r="38">
      <c r="L38" s="20" t="n"/>
    </row>
    <row r="39">
      <c r="L39" s="20" t="n"/>
    </row>
    <row r="40">
      <c r="L40" s="20" t="n"/>
    </row>
    <row r="41">
      <c r="L41" s="20" t="n"/>
    </row>
    <row r="42">
      <c r="L42" s="20" t="n"/>
    </row>
    <row r="43">
      <c r="L43" s="20" t="n"/>
    </row>
    <row r="44">
      <c r="L44" s="20" t="n"/>
    </row>
    <row r="45">
      <c r="L45" s="20" t="n"/>
    </row>
    <row r="46">
      <c r="L46" s="20" t="n"/>
    </row>
    <row r="47">
      <c r="L47" s="20" t="n"/>
    </row>
    <row r="48">
      <c r="L48" s="20" t="n"/>
    </row>
    <row r="49">
      <c r="L49" s="20" t="n"/>
    </row>
    <row r="50">
      <c r="L50" s="20" t="n"/>
    </row>
    <row r="51">
      <c r="L51" s="20" t="n"/>
    </row>
    <row r="52">
      <c r="L52" s="20" t="n"/>
    </row>
    <row r="53">
      <c r="L53" s="20" t="n"/>
    </row>
    <row r="54">
      <c r="L54" s="20" t="n"/>
    </row>
    <row r="55">
      <c r="L55" s="20" t="n"/>
    </row>
    <row r="56">
      <c r="L56" s="20" t="n"/>
    </row>
    <row r="57">
      <c r="L57" s="20" t="n"/>
    </row>
    <row r="58">
      <c r="L58" s="20" t="n"/>
    </row>
    <row r="59">
      <c r="L59" s="20" t="n"/>
    </row>
    <row r="60">
      <c r="L60" s="20" t="n"/>
    </row>
    <row r="61">
      <c r="L61" s="20" t="n"/>
    </row>
    <row r="62">
      <c r="L62" s="20" t="n"/>
    </row>
    <row r="63">
      <c r="L63" s="20" t="n"/>
    </row>
    <row r="64">
      <c r="L64" s="20" t="n"/>
    </row>
    <row r="65">
      <c r="L65" s="20" t="n"/>
    </row>
    <row r="66">
      <c r="L66" s="20" t="n"/>
    </row>
    <row r="67">
      <c r="L67" s="20" t="n"/>
    </row>
    <row r="68">
      <c r="L68" s="20" t="n"/>
    </row>
    <row r="69">
      <c r="L69" s="20" t="n"/>
    </row>
    <row r="70">
      <c r="L70" s="20" t="n"/>
    </row>
    <row r="71">
      <c r="L71" s="20" t="n"/>
    </row>
    <row r="72">
      <c r="L72" s="20" t="n"/>
    </row>
    <row r="73">
      <c r="L73" s="20" t="n"/>
    </row>
    <row r="74">
      <c r="L74" s="20" t="n"/>
    </row>
    <row r="75">
      <c r="L75" s="20" t="n"/>
    </row>
    <row r="76">
      <c r="L76" s="20" t="n"/>
    </row>
    <row r="77">
      <c r="L77" s="20" t="n"/>
    </row>
    <row r="78">
      <c r="L78" s="20" t="n"/>
    </row>
    <row r="79">
      <c r="L79" s="20" t="n"/>
    </row>
    <row r="80">
      <c r="L80" s="20" t="n"/>
    </row>
    <row r="81">
      <c r="L81" s="20" t="n"/>
    </row>
    <row r="82">
      <c r="L82" s="20" t="n"/>
    </row>
    <row r="83">
      <c r="L83" s="20" t="n"/>
    </row>
    <row r="84">
      <c r="L84" s="20" t="n"/>
    </row>
    <row r="85">
      <c r="L85" s="20" t="n"/>
    </row>
    <row r="86">
      <c r="L86" s="20" t="n"/>
    </row>
    <row r="87">
      <c r="L87" s="20" t="n"/>
    </row>
    <row r="88">
      <c r="L88" s="20" t="n"/>
    </row>
    <row r="89">
      <c r="L89" s="20" t="n"/>
    </row>
    <row r="90">
      <c r="L90" s="20" t="n"/>
    </row>
    <row r="91">
      <c r="L91" s="20" t="n"/>
    </row>
    <row r="92">
      <c r="L92" s="20" t="n"/>
    </row>
    <row r="93">
      <c r="L93" s="20" t="n"/>
    </row>
    <row r="94">
      <c r="L94" s="20" t="n"/>
    </row>
    <row r="95">
      <c r="L95" s="20" t="n"/>
    </row>
    <row r="96">
      <c r="L96" s="20" t="n"/>
    </row>
    <row r="97">
      <c r="L97" s="20" t="n"/>
    </row>
    <row r="98">
      <c r="L98" s="20" t="n"/>
    </row>
    <row r="99">
      <c r="L99" s="20" t="n"/>
    </row>
    <row r="100">
      <c r="L100" s="20" t="n"/>
    </row>
    <row r="101">
      <c r="L101" s="20" t="n"/>
    </row>
    <row r="102">
      <c r="L102" s="20" t="n"/>
    </row>
    <row r="103">
      <c r="L103" s="20" t="n"/>
    </row>
    <row r="104">
      <c r="L104" s="20" t="n"/>
    </row>
    <row r="105">
      <c r="L105" s="20" t="n"/>
    </row>
    <row r="106">
      <c r="L106" s="20" t="n"/>
    </row>
    <row r="107">
      <c r="L107" s="20" t="n"/>
    </row>
    <row r="108">
      <c r="L108" s="20" t="n"/>
    </row>
    <row r="109">
      <c r="L109" s="20" t="n"/>
    </row>
    <row r="110">
      <c r="L110" s="20" t="n"/>
    </row>
    <row r="111">
      <c r="L111" s="20" t="n"/>
    </row>
    <row r="112">
      <c r="L112" s="20" t="n"/>
    </row>
    <row r="113">
      <c r="L113" s="20" t="n"/>
    </row>
    <row r="114">
      <c r="L114" s="20" t="n"/>
    </row>
    <row r="115">
      <c r="L115" s="20" t="n"/>
    </row>
    <row r="116">
      <c r="L116" s="20" t="n"/>
    </row>
    <row r="117">
      <c r="L117" s="20" t="n"/>
    </row>
    <row r="118">
      <c r="L118" s="20" t="n"/>
    </row>
    <row r="119">
      <c r="L119" s="20" t="n"/>
    </row>
    <row r="120">
      <c r="L120" s="20" t="n"/>
    </row>
    <row r="121">
      <c r="L121" s="20" t="n"/>
    </row>
    <row r="122">
      <c r="L122" s="20" t="n"/>
    </row>
    <row r="123">
      <c r="L123" s="20" t="n"/>
    </row>
    <row r="124">
      <c r="L124" s="20" t="n"/>
    </row>
    <row r="125">
      <c r="L125" s="20" t="n"/>
    </row>
    <row r="126">
      <c r="L126" s="20" t="n"/>
    </row>
    <row r="127">
      <c r="L127" s="20" t="n"/>
    </row>
    <row r="128">
      <c r="L128" s="20" t="n"/>
    </row>
    <row r="129">
      <c r="L129" s="20" t="n"/>
    </row>
    <row r="130">
      <c r="L130" s="20" t="n"/>
    </row>
    <row r="131">
      <c r="L131" s="20" t="n"/>
    </row>
    <row r="132">
      <c r="L132" s="20" t="n"/>
    </row>
    <row r="133">
      <c r="L133" s="20" t="n"/>
    </row>
    <row r="134">
      <c r="L134" s="20" t="n"/>
    </row>
    <row r="135">
      <c r="L135" s="20" t="n"/>
    </row>
    <row r="136">
      <c r="L136" s="20" t="n"/>
    </row>
    <row r="137">
      <c r="L137" s="20" t="n"/>
    </row>
    <row r="138">
      <c r="L138" s="20" t="n"/>
    </row>
    <row r="139">
      <c r="L139" s="20" t="n"/>
    </row>
    <row r="140">
      <c r="L140" s="20" t="n"/>
    </row>
    <row r="141">
      <c r="L141" s="20" t="n"/>
    </row>
    <row r="142">
      <c r="L142" s="20" t="n"/>
    </row>
    <row r="143">
      <c r="L143" s="20" t="n"/>
    </row>
    <row r="144">
      <c r="L144" s="20" t="n"/>
    </row>
    <row r="145">
      <c r="L145" s="20" t="n"/>
    </row>
    <row r="146">
      <c r="L146" s="20" t="n"/>
    </row>
    <row r="147">
      <c r="L147" s="20" t="n"/>
    </row>
    <row r="148">
      <c r="L148" s="20" t="n"/>
    </row>
    <row r="149">
      <c r="L149" s="20" t="n"/>
    </row>
    <row r="150">
      <c r="L150" s="20" t="n"/>
    </row>
    <row r="151">
      <c r="L151" s="20" t="n"/>
    </row>
    <row r="152">
      <c r="L152" s="20" t="n"/>
    </row>
    <row r="153">
      <c r="L153" s="20" t="n"/>
    </row>
    <row r="154">
      <c r="L154" s="20" t="n"/>
    </row>
    <row r="155">
      <c r="L155" s="20" t="n"/>
    </row>
    <row r="156">
      <c r="L156" s="20" t="n"/>
    </row>
    <row r="157">
      <c r="L157" s="20" t="n"/>
    </row>
    <row r="158">
      <c r="L158" s="20" t="n"/>
    </row>
    <row r="159">
      <c r="L159" s="20" t="n"/>
    </row>
    <row r="160">
      <c r="L160" s="20" t="n"/>
    </row>
    <row r="161">
      <c r="L161" s="20" t="n"/>
    </row>
    <row r="162">
      <c r="L162" s="20" t="n"/>
    </row>
    <row r="163">
      <c r="L163" s="20" t="n"/>
    </row>
    <row r="164">
      <c r="L164" s="20" t="n"/>
    </row>
    <row r="165">
      <c r="L165" s="20" t="n"/>
    </row>
    <row r="166">
      <c r="L166" s="20" t="n"/>
    </row>
    <row r="167">
      <c r="L167" s="20" t="n"/>
    </row>
    <row r="168">
      <c r="L168" s="20" t="n"/>
    </row>
    <row r="169">
      <c r="L169" s="20" t="n"/>
    </row>
    <row r="170">
      <c r="L170" s="20" t="n"/>
    </row>
    <row r="171">
      <c r="L171" s="20" t="n"/>
    </row>
    <row r="172">
      <c r="L172" s="20" t="n"/>
    </row>
    <row r="173">
      <c r="L173" s="20" t="n"/>
    </row>
    <row r="174">
      <c r="L174" s="20" t="n"/>
    </row>
    <row r="175">
      <c r="L175" s="20" t="n"/>
    </row>
    <row r="176">
      <c r="L176" s="20" t="n"/>
    </row>
    <row r="177">
      <c r="L177" s="20" t="n"/>
    </row>
    <row r="178">
      <c r="L178" s="20" t="n"/>
    </row>
    <row r="179">
      <c r="L179" s="20" t="n"/>
    </row>
    <row r="180">
      <c r="L180" s="20" t="n"/>
    </row>
    <row r="181">
      <c r="L181" s="20" t="n"/>
    </row>
    <row r="182">
      <c r="L182" s="20" t="n"/>
    </row>
    <row r="183">
      <c r="L183" s="20" t="n"/>
    </row>
    <row r="184">
      <c r="L184" s="20" t="n"/>
    </row>
    <row r="185">
      <c r="L185" s="20" t="n"/>
    </row>
    <row r="186">
      <c r="L186" s="20" t="n"/>
    </row>
    <row r="187">
      <c r="L187" s="20" t="n"/>
    </row>
    <row r="188">
      <c r="L188" s="20" t="n"/>
    </row>
    <row r="189">
      <c r="L189" s="20" t="n"/>
    </row>
    <row r="190">
      <c r="L190" s="20" t="n"/>
    </row>
    <row r="191">
      <c r="L191" s="20" t="n"/>
    </row>
    <row r="192">
      <c r="L192" s="20" t="n"/>
    </row>
    <row r="193">
      <c r="L193" s="20" t="n"/>
    </row>
    <row r="194">
      <c r="L194" s="20" t="n"/>
    </row>
    <row r="195">
      <c r="L195" s="20" t="n"/>
    </row>
    <row r="196">
      <c r="L196" s="20" t="n"/>
    </row>
    <row r="197">
      <c r="L197" s="20" t="n"/>
    </row>
    <row r="198">
      <c r="L198" s="20" t="n"/>
    </row>
    <row r="199">
      <c r="L199" s="20" t="n"/>
    </row>
    <row r="200">
      <c r="L200" s="20" t="n"/>
    </row>
    <row r="201">
      <c r="L201" s="20" t="n"/>
    </row>
    <row r="202">
      <c r="L202" s="20" t="n"/>
    </row>
    <row r="203">
      <c r="L203" s="20" t="n"/>
    </row>
    <row r="204">
      <c r="L204" s="20" t="n"/>
    </row>
    <row r="205">
      <c r="L205" s="20" t="n"/>
    </row>
    <row r="206">
      <c r="L206" s="20" t="n"/>
    </row>
    <row r="207">
      <c r="L207" s="20" t="n"/>
    </row>
    <row r="208">
      <c r="L208" s="20" t="n"/>
    </row>
    <row r="209">
      <c r="L209" s="20" t="n"/>
    </row>
    <row r="210">
      <c r="L210" s="20" t="n"/>
    </row>
    <row r="211">
      <c r="L211" s="20" t="n"/>
    </row>
    <row r="212">
      <c r="L212" s="20" t="n"/>
    </row>
    <row r="213">
      <c r="L213" s="20" t="n"/>
    </row>
    <row r="214">
      <c r="L214" s="20" t="n"/>
    </row>
    <row r="215">
      <c r="L215" s="20" t="n"/>
    </row>
    <row r="216">
      <c r="L216" s="20" t="n"/>
    </row>
    <row r="217">
      <c r="L217" s="20" t="n"/>
    </row>
    <row r="218">
      <c r="L218" s="20" t="n"/>
    </row>
    <row r="219">
      <c r="L219" s="20" t="n"/>
    </row>
    <row r="220">
      <c r="L220" s="20" t="n"/>
    </row>
    <row r="221">
      <c r="L221" s="20" t="n"/>
    </row>
    <row r="222">
      <c r="L222" s="20" t="n"/>
    </row>
    <row r="223">
      <c r="L223" s="20" t="n"/>
    </row>
    <row r="224">
      <c r="L224" s="20" t="n"/>
    </row>
    <row r="225">
      <c r="L225" s="20" t="n"/>
    </row>
    <row r="226">
      <c r="L226" s="20" t="n"/>
    </row>
    <row r="227">
      <c r="L227" s="20" t="n"/>
    </row>
    <row r="228">
      <c r="L228" s="20" t="n"/>
    </row>
    <row r="229">
      <c r="L229" s="20" t="n"/>
    </row>
    <row r="230">
      <c r="L230" s="20" t="n"/>
    </row>
    <row r="231">
      <c r="L231" s="20" t="n"/>
    </row>
    <row r="232">
      <c r="L232" s="20" t="n"/>
    </row>
    <row r="233">
      <c r="L233" s="20" t="n"/>
    </row>
    <row r="234">
      <c r="L234" s="20" t="n"/>
    </row>
    <row r="235">
      <c r="L235" s="20" t="n"/>
    </row>
    <row r="236">
      <c r="L236" s="20" t="n"/>
    </row>
    <row r="237">
      <c r="L237" s="20" t="n"/>
    </row>
    <row r="238">
      <c r="L238" s="20" t="n"/>
    </row>
    <row r="239">
      <c r="L239" s="20" t="n"/>
    </row>
    <row r="240">
      <c r="L240" s="20" t="n"/>
    </row>
    <row r="241">
      <c r="L241" s="20" t="n"/>
    </row>
    <row r="242">
      <c r="L242" s="20" t="n"/>
    </row>
    <row r="243">
      <c r="L243" s="20" t="n"/>
    </row>
    <row r="244">
      <c r="L244" s="20" t="n"/>
    </row>
    <row r="245">
      <c r="L245" s="20" t="n"/>
    </row>
    <row r="246">
      <c r="L246" s="20" t="n"/>
    </row>
    <row r="247">
      <c r="L247" s="20" t="n"/>
    </row>
    <row r="248">
      <c r="L248" s="20" t="n"/>
    </row>
    <row r="249">
      <c r="L249" s="20" t="n"/>
    </row>
    <row r="250">
      <c r="L250" s="20" t="n"/>
    </row>
    <row r="251">
      <c r="L251" s="20" t="n"/>
    </row>
    <row r="252">
      <c r="L252" s="20" t="n"/>
    </row>
    <row r="253">
      <c r="L253" s="20" t="n"/>
    </row>
    <row r="254">
      <c r="L254" s="20" t="n"/>
    </row>
    <row r="255">
      <c r="L255" s="20" t="n"/>
    </row>
    <row r="256">
      <c r="L256" s="20" t="n"/>
    </row>
    <row r="257">
      <c r="L257" s="20" t="n"/>
    </row>
    <row r="258">
      <c r="L258" s="20" t="n"/>
    </row>
    <row r="259">
      <c r="L259" s="20" t="n"/>
    </row>
    <row r="260">
      <c r="L260" s="20" t="n"/>
    </row>
    <row r="261">
      <c r="L261" s="20" t="n"/>
    </row>
    <row r="262">
      <c r="L262" s="20" t="n"/>
    </row>
    <row r="263">
      <c r="L263" s="20" t="n"/>
    </row>
    <row r="264">
      <c r="L264" s="20" t="n"/>
    </row>
    <row r="265">
      <c r="L265" s="20" t="n"/>
    </row>
    <row r="266">
      <c r="L266" s="20" t="n"/>
    </row>
    <row r="267">
      <c r="L267" s="20" t="n"/>
    </row>
    <row r="268">
      <c r="L268" s="20" t="n"/>
    </row>
    <row r="269">
      <c r="L269" s="20" t="n"/>
    </row>
    <row r="270">
      <c r="L270" s="20" t="n"/>
    </row>
    <row r="271">
      <c r="L271" s="20" t="n"/>
    </row>
    <row r="272">
      <c r="L272" s="20" t="n"/>
    </row>
    <row r="273">
      <c r="L273" s="20" t="n"/>
    </row>
    <row r="274">
      <c r="L274" s="20" t="n"/>
    </row>
    <row r="275">
      <c r="L275" s="20" t="n"/>
    </row>
    <row r="276">
      <c r="L276" s="20" t="n"/>
    </row>
    <row r="277">
      <c r="L277" s="20" t="n"/>
    </row>
    <row r="278">
      <c r="L278" s="20" t="n"/>
    </row>
    <row r="279">
      <c r="L279" s="20" t="n"/>
    </row>
    <row r="280">
      <c r="L280" s="20" t="n"/>
    </row>
    <row r="281">
      <c r="L281" s="20" t="n"/>
    </row>
    <row r="282">
      <c r="L282" s="20" t="n"/>
    </row>
    <row r="283">
      <c r="L283" s="20" t="n"/>
    </row>
    <row r="284">
      <c r="L284" s="20" t="n"/>
    </row>
    <row r="285">
      <c r="L285" s="20" t="n"/>
    </row>
    <row r="286">
      <c r="L286" s="20" t="n"/>
    </row>
    <row r="287">
      <c r="L287" s="20" t="n"/>
    </row>
    <row r="288">
      <c r="L288" s="20" t="n"/>
    </row>
    <row r="289">
      <c r="L289" s="20" t="n"/>
    </row>
    <row r="290">
      <c r="L290" s="20" t="n"/>
    </row>
    <row r="291">
      <c r="L291" s="20" t="n"/>
    </row>
    <row r="292">
      <c r="L292" s="20" t="n"/>
    </row>
    <row r="293">
      <c r="L293" s="20" t="n"/>
    </row>
    <row r="294">
      <c r="L294" s="20" t="n"/>
    </row>
    <row r="295">
      <c r="L295" s="20" t="n"/>
    </row>
    <row r="296">
      <c r="L296" s="20" t="n"/>
    </row>
    <row r="297">
      <c r="L297" s="20" t="n"/>
    </row>
    <row r="298">
      <c r="L298" s="20" t="n"/>
    </row>
    <row r="299">
      <c r="L299" s="20" t="n"/>
    </row>
    <row r="300">
      <c r="L300" s="20" t="n"/>
    </row>
    <row r="301">
      <c r="L301" s="20" t="n"/>
    </row>
    <row r="302">
      <c r="L302" s="20" t="n"/>
    </row>
    <row r="303">
      <c r="L303" s="20" t="n"/>
    </row>
    <row r="304">
      <c r="L304" s="20" t="n"/>
    </row>
    <row r="305">
      <c r="L305" s="20" t="n"/>
    </row>
    <row r="306">
      <c r="L306" s="20" t="n"/>
    </row>
    <row r="307">
      <c r="L307" s="20" t="n"/>
    </row>
    <row r="308">
      <c r="L308" s="20" t="n"/>
    </row>
    <row r="309">
      <c r="L309" s="20" t="n"/>
    </row>
    <row r="310">
      <c r="L310" s="20" t="n"/>
    </row>
    <row r="311">
      <c r="L311" s="20" t="n"/>
    </row>
    <row r="312">
      <c r="L312" s="20" t="n"/>
    </row>
    <row r="313">
      <c r="L313" s="20" t="n"/>
    </row>
    <row r="314">
      <c r="L314" s="20" t="n"/>
    </row>
    <row r="315">
      <c r="L315" s="20" t="n"/>
    </row>
    <row r="316">
      <c r="L316" s="20" t="n"/>
    </row>
    <row r="317">
      <c r="L317" s="20" t="n"/>
    </row>
    <row r="318">
      <c r="L318" s="20" t="n"/>
    </row>
    <row r="319">
      <c r="L319" s="20" t="n"/>
    </row>
    <row r="320">
      <c r="L320" s="20" t="n"/>
    </row>
    <row r="321">
      <c r="L321" s="20" t="n"/>
    </row>
    <row r="322">
      <c r="L322" s="20" t="n"/>
    </row>
    <row r="323">
      <c r="L323" s="20" t="n"/>
    </row>
    <row r="324">
      <c r="L324" s="20" t="n"/>
    </row>
    <row r="325">
      <c r="L325" s="20" t="n"/>
    </row>
    <row r="326">
      <c r="L326" s="20" t="n"/>
    </row>
    <row r="327">
      <c r="L327" s="20" t="n"/>
    </row>
    <row r="328">
      <c r="L328" s="20" t="n"/>
    </row>
    <row r="329">
      <c r="L329" s="20" t="n"/>
    </row>
    <row r="330">
      <c r="L330" s="20" t="n"/>
    </row>
    <row r="331">
      <c r="L331" s="20" t="n"/>
    </row>
    <row r="332">
      <c r="L332" s="20" t="n"/>
    </row>
    <row r="333">
      <c r="L333" s="20" t="n"/>
    </row>
    <row r="334">
      <c r="L334" s="20" t="n"/>
    </row>
    <row r="335">
      <c r="L335" s="20" t="n"/>
    </row>
    <row r="336">
      <c r="L336" s="20" t="n"/>
    </row>
    <row r="337">
      <c r="L337" s="20" t="n"/>
    </row>
    <row r="338">
      <c r="L338" s="20" t="n"/>
    </row>
    <row r="339">
      <c r="L339" s="20" t="n"/>
    </row>
    <row r="340">
      <c r="L340" s="20" t="n"/>
    </row>
    <row r="341">
      <c r="L341" s="20" t="n"/>
    </row>
    <row r="342">
      <c r="L342" s="20" t="n"/>
    </row>
    <row r="343">
      <c r="L343" s="20" t="n"/>
    </row>
    <row r="344">
      <c r="L344" s="20" t="n"/>
    </row>
    <row r="345">
      <c r="L345" s="20" t="n"/>
    </row>
    <row r="346">
      <c r="L346" s="20" t="n"/>
    </row>
    <row r="347">
      <c r="L347" s="20" t="n"/>
    </row>
    <row r="348">
      <c r="L348" s="20" t="n"/>
    </row>
    <row r="349">
      <c r="L349" s="20" t="n"/>
    </row>
    <row r="350">
      <c r="L350" s="20" t="n"/>
    </row>
    <row r="351">
      <c r="L351" s="20" t="n"/>
    </row>
    <row r="352">
      <c r="L352" s="20" t="n"/>
    </row>
    <row r="353">
      <c r="L353" s="20" t="n"/>
    </row>
    <row r="354">
      <c r="L354" s="20" t="n"/>
    </row>
    <row r="355">
      <c r="L355" s="20" t="n"/>
    </row>
    <row r="356">
      <c r="L356" s="20" t="n"/>
    </row>
    <row r="357">
      <c r="L357" s="20" t="n"/>
    </row>
    <row r="358">
      <c r="L358" s="20" t="n"/>
    </row>
    <row r="359">
      <c r="L359" s="20" t="n"/>
    </row>
    <row r="360">
      <c r="L360" s="20" t="n"/>
    </row>
    <row r="361">
      <c r="L361" s="20" t="n"/>
    </row>
    <row r="362">
      <c r="L362" s="20" t="n"/>
    </row>
    <row r="363">
      <c r="L363" s="20" t="n"/>
    </row>
    <row r="364">
      <c r="L364" s="20" t="n"/>
    </row>
    <row r="365">
      <c r="L365" s="20" t="n"/>
    </row>
    <row r="366">
      <c r="L366" s="20" t="n"/>
    </row>
    <row r="367">
      <c r="L367" s="20" t="n"/>
    </row>
    <row r="368">
      <c r="L368" s="20" t="n"/>
    </row>
    <row r="369">
      <c r="L369" s="20" t="n"/>
    </row>
    <row r="370">
      <c r="L370" s="20" t="n"/>
    </row>
    <row r="371">
      <c r="L371" s="20" t="n"/>
    </row>
    <row r="372">
      <c r="L372" s="20" t="n"/>
    </row>
    <row r="373">
      <c r="L373" s="20" t="n"/>
    </row>
    <row r="374">
      <c r="L374" s="20" t="n"/>
    </row>
    <row r="375">
      <c r="L375" s="20" t="n"/>
    </row>
    <row r="376">
      <c r="L376" s="20" t="n"/>
    </row>
    <row r="377">
      <c r="L377" s="20" t="n"/>
    </row>
    <row r="378">
      <c r="L378" s="20" t="n"/>
    </row>
    <row r="379">
      <c r="L379" s="20" t="n"/>
    </row>
    <row r="380">
      <c r="L380" s="20" t="n"/>
    </row>
    <row r="381">
      <c r="L381" s="20" t="n"/>
    </row>
    <row r="382">
      <c r="L382" s="20" t="n"/>
    </row>
    <row r="383">
      <c r="L383" s="20" t="n"/>
    </row>
    <row r="384">
      <c r="L384" s="20" t="n"/>
    </row>
    <row r="385">
      <c r="L385" s="20" t="n"/>
    </row>
    <row r="386">
      <c r="L386" s="20" t="n"/>
    </row>
    <row r="387">
      <c r="L387" s="20" t="n"/>
    </row>
    <row r="388">
      <c r="L388" s="20" t="n"/>
    </row>
    <row r="389">
      <c r="L389" s="20" t="n"/>
    </row>
    <row r="390">
      <c r="L390" s="20" t="n"/>
    </row>
    <row r="391">
      <c r="L391" s="20" t="n"/>
    </row>
    <row r="392">
      <c r="L392" s="20" t="n"/>
    </row>
    <row r="393">
      <c r="L393" s="20" t="n"/>
    </row>
    <row r="394">
      <c r="L394" s="20" t="n"/>
    </row>
    <row r="395">
      <c r="L395" s="20" t="n"/>
    </row>
    <row r="396">
      <c r="L396" s="20" t="n"/>
    </row>
    <row r="397">
      <c r="L397" s="20" t="n"/>
    </row>
    <row r="398">
      <c r="L398" s="20" t="n"/>
    </row>
    <row r="399">
      <c r="L399" s="20" t="n"/>
    </row>
    <row r="400">
      <c r="L400" s="20" t="n"/>
    </row>
    <row r="401">
      <c r="L401" s="20" t="n"/>
    </row>
    <row r="402">
      <c r="L402" s="20" t="n"/>
    </row>
    <row r="403">
      <c r="L403" s="20" t="n"/>
    </row>
    <row r="404">
      <c r="L404" s="20" t="n"/>
    </row>
    <row r="405">
      <c r="L405" s="20" t="n"/>
    </row>
    <row r="406">
      <c r="L406" s="20" t="n"/>
    </row>
    <row r="407">
      <c r="L407" s="20" t="n"/>
    </row>
    <row r="408">
      <c r="L408" s="20" t="n"/>
    </row>
    <row r="409">
      <c r="L409" s="20" t="n"/>
    </row>
    <row r="410">
      <c r="L410" s="20" t="n"/>
    </row>
    <row r="411">
      <c r="L411" s="20" t="n"/>
    </row>
    <row r="412">
      <c r="L412" s="20" t="n"/>
    </row>
    <row r="413">
      <c r="L413" s="20" t="n"/>
    </row>
    <row r="414">
      <c r="L414" s="20" t="n"/>
    </row>
    <row r="415">
      <c r="L415" s="20" t="n"/>
    </row>
    <row r="416">
      <c r="L416" s="20" t="n"/>
    </row>
    <row r="417">
      <c r="L417" s="20" t="n"/>
    </row>
    <row r="418">
      <c r="L418" s="20" t="n"/>
    </row>
    <row r="419">
      <c r="L419" s="20" t="n"/>
    </row>
    <row r="420">
      <c r="L420" s="20" t="n"/>
    </row>
    <row r="421">
      <c r="L421" s="20" t="n"/>
    </row>
    <row r="422">
      <c r="L422" s="20" t="n"/>
    </row>
    <row r="423">
      <c r="L423" s="20" t="n"/>
    </row>
    <row r="424">
      <c r="L424" s="20" t="n"/>
    </row>
    <row r="425">
      <c r="L425" s="20" t="n"/>
    </row>
    <row r="426">
      <c r="L426" s="20" t="n"/>
    </row>
    <row r="427">
      <c r="L427" s="20" t="n"/>
    </row>
    <row r="428">
      <c r="L428" s="20" t="n"/>
    </row>
    <row r="429">
      <c r="L429" s="20" t="n"/>
    </row>
    <row r="430">
      <c r="L430" s="20" t="n"/>
    </row>
    <row r="431">
      <c r="L431" s="20" t="n"/>
    </row>
    <row r="432">
      <c r="L432" s="20" t="n"/>
    </row>
    <row r="433">
      <c r="L433" s="20" t="n"/>
    </row>
    <row r="434">
      <c r="L434" s="20" t="n"/>
    </row>
    <row r="435">
      <c r="L435" s="20" t="n"/>
    </row>
    <row r="436">
      <c r="L436" s="20" t="n"/>
    </row>
    <row r="437">
      <c r="L437" s="20" t="n"/>
    </row>
    <row r="438">
      <c r="L438" s="20" t="n"/>
    </row>
    <row r="439">
      <c r="L439" s="20" t="n"/>
    </row>
    <row r="440">
      <c r="L440" s="20" t="n"/>
    </row>
    <row r="441">
      <c r="L441" s="20" t="n"/>
    </row>
    <row r="442">
      <c r="L442" s="20" t="n"/>
    </row>
    <row r="443">
      <c r="L443" s="20" t="n"/>
    </row>
    <row r="444">
      <c r="L444" s="20" t="n"/>
    </row>
    <row r="445">
      <c r="L445" s="20" t="n"/>
    </row>
    <row r="446">
      <c r="L446" s="20" t="n"/>
    </row>
    <row r="447">
      <c r="L447" s="20" t="n"/>
    </row>
    <row r="448">
      <c r="L448" s="20" t="n"/>
    </row>
    <row r="449">
      <c r="L449" s="20" t="n"/>
    </row>
    <row r="450">
      <c r="L450" s="20" t="n"/>
    </row>
    <row r="451">
      <c r="L451" s="20" t="n"/>
    </row>
    <row r="452">
      <c r="L452" s="20" t="n"/>
    </row>
    <row r="453">
      <c r="L453" s="20" t="n"/>
    </row>
    <row r="454">
      <c r="L454" s="20" t="n"/>
    </row>
    <row r="455">
      <c r="L455" s="20" t="n"/>
    </row>
    <row r="456">
      <c r="L456" s="20" t="n"/>
    </row>
    <row r="457">
      <c r="L457" s="20" t="n"/>
    </row>
    <row r="458">
      <c r="L458" s="20" t="n"/>
    </row>
    <row r="459">
      <c r="L459" s="20" t="n"/>
    </row>
    <row r="460">
      <c r="L460" s="20" t="n"/>
    </row>
    <row r="461">
      <c r="L461" s="20" t="n"/>
    </row>
    <row r="462">
      <c r="L462" s="20" t="n"/>
    </row>
    <row r="463">
      <c r="L463" s="20" t="n"/>
    </row>
    <row r="464">
      <c r="L464" s="20" t="n"/>
    </row>
    <row r="465">
      <c r="L465" s="20" t="n"/>
    </row>
    <row r="466">
      <c r="L466" s="20" t="n"/>
    </row>
    <row r="467">
      <c r="L467" s="20" t="n"/>
    </row>
    <row r="468">
      <c r="L468" s="20" t="n"/>
    </row>
    <row r="469">
      <c r="L469" s="20" t="n"/>
    </row>
    <row r="470">
      <c r="L470" s="20" t="n"/>
    </row>
    <row r="471">
      <c r="L471" s="20" t="n"/>
    </row>
    <row r="472">
      <c r="L472" s="20" t="n"/>
    </row>
    <row r="473">
      <c r="L473" s="20" t="n"/>
    </row>
    <row r="474">
      <c r="L474" s="20" t="n"/>
    </row>
    <row r="475">
      <c r="L475" s="20" t="n"/>
    </row>
    <row r="476">
      <c r="L476" s="20" t="n"/>
    </row>
    <row r="477">
      <c r="L477" s="20" t="n"/>
    </row>
    <row r="478">
      <c r="L478" s="20" t="n"/>
    </row>
    <row r="479">
      <c r="L479" s="20" t="n"/>
    </row>
    <row r="480">
      <c r="L480" s="20" t="n"/>
    </row>
    <row r="481">
      <c r="L481" s="20" t="n"/>
    </row>
    <row r="482">
      <c r="L482" s="20" t="n"/>
    </row>
    <row r="483">
      <c r="L483" s="20" t="n"/>
    </row>
    <row r="484">
      <c r="L484" s="20" t="n"/>
    </row>
    <row r="485">
      <c r="L485" s="20" t="n"/>
    </row>
    <row r="486">
      <c r="L486" s="20" t="n"/>
    </row>
    <row r="487">
      <c r="L487" s="20" t="n"/>
    </row>
    <row r="488">
      <c r="L488" s="20" t="n"/>
    </row>
    <row r="489">
      <c r="L489" s="20" t="n"/>
    </row>
    <row r="490">
      <c r="L490" s="20" t="n"/>
    </row>
    <row r="491">
      <c r="L491" s="20" t="n"/>
    </row>
    <row r="492">
      <c r="L492" s="20" t="n"/>
    </row>
    <row r="493">
      <c r="L493" s="20" t="n"/>
    </row>
    <row r="494">
      <c r="L494" s="20" t="n"/>
    </row>
    <row r="495">
      <c r="L495" s="20" t="n"/>
    </row>
    <row r="496">
      <c r="L496" s="20" t="n"/>
    </row>
    <row r="497">
      <c r="L497" s="20" t="n"/>
    </row>
    <row r="498">
      <c r="L498" s="20" t="n"/>
    </row>
    <row r="499">
      <c r="L499" s="20" t="n"/>
    </row>
    <row r="500">
      <c r="L500" s="20" t="n"/>
    </row>
  </sheetData>
  <autoFilter ref="A4:N500"/>
  <mergeCells count="1">
    <mergeCell ref="A2:N2"/>
  </mergeCells>
  <conditionalFormatting sqref="H5:H500">
    <cfRule type="expression" priority="1" dxfId="0">
      <formula>$H5="Öneri"</formula>
    </cfRule>
    <cfRule type="expression" priority="2" dxfId="1">
      <formula>$H5="Açık"</formula>
    </cfRule>
    <cfRule type="expression" priority="3" dxfId="2">
      <formula>$H5="Devam ediyor"</formula>
    </cfRule>
    <cfRule type="expression" priority="4" dxfId="3">
      <formula>$H5="Test"</formula>
    </cfRule>
    <cfRule type="expression" priority="5" dxfId="4">
      <formula>$H5="Tamamlandı"</formula>
    </cfRule>
    <cfRule type="expression" priority="6" dxfId="5">
      <formula>$H5="İptal"</formula>
    </cfRule>
  </conditionalFormatting>
  <dataValidations count="6">
    <dataValidation sqref="H5:H500" showDropDown="0" showInputMessage="0" showErrorMessage="0" allowBlank="1" type="list">
      <formula1>"Öneri,Açık,Devam ediyor,Test,Tamamlandı,İptal"</formula1>
    </dataValidation>
    <dataValidation sqref="F5:F500" showDropDown="0" showInputMessage="0" showErrorMessage="0" allowBlank="1" type="list">
      <formula1>"Yüksek,Orta,Düşük"</formula1>
    </dataValidation>
    <dataValidation sqref="G5:G500" showDropDown="0" showInputMessage="0" showErrorMessage="0" allowBlank="1" type="list">
      <formula1>"Faz 1,Faz 2"</formula1>
    </dataValidation>
    <dataValidation sqref="B5:B500" showDropDown="0" showInputMessage="0" showErrorMessage="0" allowBlank="1" type="list">
      <formula1>"1 - Teknik: Veri Doğruluğu,2 - Arayüz: Kullanılabilirlik &amp; Profesyonel Görünüm,3 - Genel / Diğer"</formula1>
    </dataValidation>
    <dataValidation sqref="L5:L500" showDropDown="0" showInputMessage="0" showErrorMessage="0" allowBlank="1" errorTitle="Tarih" error="Tarih girin (GG.AA.YYYY)" type="date" operator="greaterThan">
      <formula1>DATE(2026,1,1)</formula1>
    </dataValidation>
    <dataValidation sqref="M5:M500" showDropDown="0" showInputMessage="0" showErrorMessage="0" allowBlank="1" errorTitle="Tarih" error="Tarih girin (GG.AA.YYYY)" type="date" operator="greaterThan">
      <formula1>DATE(2026,1,1)</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0" t="inlineStr">
        <is>
          <t>Özet (İş Listesi sayfasından otomatik)</t>
        </is>
      </c>
    </row>
    <row r="3">
      <c r="A3" s="11" t="inlineStr">
        <is>
          <t>Segment</t>
        </is>
      </c>
      <c r="B3" s="11" t="inlineStr">
        <is>
          <t>Öneri</t>
        </is>
      </c>
      <c r="C3" s="11" t="inlineStr">
        <is>
          <t>Açık</t>
        </is>
      </c>
      <c r="D3" s="11" t="inlineStr">
        <is>
          <t>Devam ediyor</t>
        </is>
      </c>
      <c r="E3" s="11" t="inlineStr">
        <is>
          <t>Test</t>
        </is>
      </c>
      <c r="F3" s="11" t="inlineStr">
        <is>
          <t>Tamamlandı</t>
        </is>
      </c>
      <c r="G3" s="11" t="inlineStr">
        <is>
          <t>İptal</t>
        </is>
      </c>
      <c r="H3" s="11" t="inlineStr">
        <is>
          <t>Toplam</t>
        </is>
      </c>
      <c r="I3" s="11" t="inlineStr">
        <is>
          <t>Tamamlanma %</t>
        </is>
      </c>
    </row>
    <row r="4">
      <c r="A4" s="12" t="inlineStr">
        <is>
          <t>1 - Teknik: Veri Doğruluğu</t>
        </is>
      </c>
      <c r="B4" s="13">
        <f>COUNTIFS('İş Listesi'!$B$5:$B$500,$A4,'İş Listesi'!$H$5:$H$500,B$3)</f>
        <v/>
      </c>
      <c r="C4" s="13">
        <f>COUNTIFS('İş Listesi'!$B$5:$B$500,$A4,'İş Listesi'!$H$5:$H$500,C$3)</f>
        <v/>
      </c>
      <c r="D4" s="13">
        <f>COUNTIFS('İş Listesi'!$B$5:$B$500,$A4,'İş Listesi'!$H$5:$H$500,D$3)</f>
        <v/>
      </c>
      <c r="E4" s="13">
        <f>COUNTIFS('İş Listesi'!$B$5:$B$500,$A4,'İş Listesi'!$H$5:$H$500,E$3)</f>
        <v/>
      </c>
      <c r="F4" s="13">
        <f>COUNTIFS('İş Listesi'!$B$5:$B$500,$A4,'İş Listesi'!$H$5:$H$500,F$3)</f>
        <v/>
      </c>
      <c r="G4" s="13">
        <f>COUNTIFS('İş Listesi'!$B$5:$B$500,$A4,'İş Listesi'!$H$5:$H$500,G$3)</f>
        <v/>
      </c>
      <c r="H4" s="13">
        <f>SUM(B4:G4)</f>
        <v/>
      </c>
      <c r="I4" s="14">
        <f>IF(H4-G4=0,0,F4/(H4-G4))</f>
        <v/>
      </c>
    </row>
    <row r="5">
      <c r="A5" s="12" t="inlineStr">
        <is>
          <t>2 - Arayüz: Kullanılabilirlik &amp; Profesyonel Görünüm</t>
        </is>
      </c>
      <c r="B5" s="13">
        <f>COUNTIFS('İş Listesi'!$B$5:$B$500,$A5,'İş Listesi'!$H$5:$H$500,B$3)</f>
        <v/>
      </c>
      <c r="C5" s="13">
        <f>COUNTIFS('İş Listesi'!$B$5:$B$500,$A5,'İş Listesi'!$H$5:$H$500,C$3)</f>
        <v/>
      </c>
      <c r="D5" s="13">
        <f>COUNTIFS('İş Listesi'!$B$5:$B$500,$A5,'İş Listesi'!$H$5:$H$500,D$3)</f>
        <v/>
      </c>
      <c r="E5" s="13">
        <f>COUNTIFS('İş Listesi'!$B$5:$B$500,$A5,'İş Listesi'!$H$5:$H$500,E$3)</f>
        <v/>
      </c>
      <c r="F5" s="13">
        <f>COUNTIFS('İş Listesi'!$B$5:$B$500,$A5,'İş Listesi'!$H$5:$H$500,F$3)</f>
        <v/>
      </c>
      <c r="G5" s="13">
        <f>COUNTIFS('İş Listesi'!$B$5:$B$500,$A5,'İş Listesi'!$H$5:$H$500,G$3)</f>
        <v/>
      </c>
      <c r="H5" s="13">
        <f>SUM(B5:G5)</f>
        <v/>
      </c>
      <c r="I5" s="14">
        <f>IF(H5-G5=0,0,F5/(H5-G5))</f>
        <v/>
      </c>
    </row>
    <row r="6">
      <c r="A6" s="12" t="inlineStr">
        <is>
          <t>3 - Genel / Diğer</t>
        </is>
      </c>
      <c r="B6" s="13">
        <f>COUNTIFS('İş Listesi'!$B$5:$B$500,$A6,'İş Listesi'!$H$5:$H$500,B$3)</f>
        <v/>
      </c>
      <c r="C6" s="13">
        <f>COUNTIFS('İş Listesi'!$B$5:$B$500,$A6,'İş Listesi'!$H$5:$H$500,C$3)</f>
        <v/>
      </c>
      <c r="D6" s="13">
        <f>COUNTIFS('İş Listesi'!$B$5:$B$500,$A6,'İş Listesi'!$H$5:$H$500,D$3)</f>
        <v/>
      </c>
      <c r="E6" s="13">
        <f>COUNTIFS('İş Listesi'!$B$5:$B$500,$A6,'İş Listesi'!$H$5:$H$500,E$3)</f>
        <v/>
      </c>
      <c r="F6" s="13">
        <f>COUNTIFS('İş Listesi'!$B$5:$B$500,$A6,'İş Listesi'!$H$5:$H$500,F$3)</f>
        <v/>
      </c>
      <c r="G6" s="13">
        <f>COUNTIFS('İş Listesi'!$B$5:$B$500,$A6,'İş Listesi'!$H$5:$H$500,G$3)</f>
        <v/>
      </c>
      <c r="H6" s="13">
        <f>SUM(B6:G6)</f>
        <v/>
      </c>
      <c r="I6" s="14">
        <f>IF(H6-G6=0,0,F6/(H6-G6))</f>
        <v/>
      </c>
    </row>
    <row r="7">
      <c r="A7" s="15" t="inlineStr">
        <is>
          <t>Toplam</t>
        </is>
      </c>
      <c r="B7" s="16">
        <f>SUM(B4:B6)</f>
        <v/>
      </c>
      <c r="C7" s="16">
        <f>SUM(C4:C6)</f>
        <v/>
      </c>
      <c r="D7" s="16">
        <f>SUM(D4:D6)</f>
        <v/>
      </c>
      <c r="E7" s="16">
        <f>SUM(E4:E6)</f>
        <v/>
      </c>
      <c r="F7" s="16">
        <f>SUM(F4:F6)</f>
        <v/>
      </c>
      <c r="G7" s="16">
        <f>SUM(G4:G6)</f>
        <v/>
      </c>
      <c r="H7" s="16">
        <f>SUM(H4:H6)</f>
        <v/>
      </c>
      <c r="I7" s="17">
        <f>IF(H7-G7=0,0,F7/(H7-G7))</f>
        <v/>
      </c>
    </row>
    <row r="9">
      <c r="A9" s="18" t="inlineStr">
        <is>
          <t>Tamamlanma % = Tamamlandı / (Toplam − İptal)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0" customWidth="1" min="1" max="1"/>
    <col width="36" customWidth="1" min="2" max="2"/>
    <col width="46" customWidth="1" min="3" max="3"/>
    <col width="44" customWidth="1" min="4" max="4"/>
    <col width="60" customWidth="1" min="5" max="5"/>
    <col width="4" customWidth="1" min="6" max="6"/>
  </cols>
  <sheetData>
    <row r="1">
      <c r="A1" s="1" t="inlineStr">
        <is>
          <t>Sanal Kasa — Güven Payı Kuralları</t>
        </is>
      </c>
    </row>
    <row r="2" ht="44" customHeight="1">
      <c r="A2" s="29" t="inlineStr">
        <is>
          <t>Sitedeki cümle: "Kasan büyüdükçe bir kısmını kilitle. Kilitlediğin para bir daha riske girmez ama hedefine sayılır." Kullanıcı tek bir sayıya (bugünkü kupon ile rahat sınır) bakar ve tek bir butona basar. Para hareketini her zaman kullanıcı onaylar.</t>
        </is>
      </c>
    </row>
    <row r="4">
      <c r="A4" s="3" t="inlineStr">
        <is>
          <t>Kural</t>
        </is>
      </c>
      <c r="B4" s="3" t="inlineStr">
        <is>
          <t>Ne zaman</t>
        </is>
      </c>
      <c r="C4" s="3" t="inlineStr">
        <is>
          <t>Ne olur</t>
        </is>
      </c>
      <c r="D4" s="3" t="inlineStr">
        <is>
          <t>Psikolojik gerekçe</t>
        </is>
      </c>
      <c r="E4" s="3" t="inlineStr">
        <is>
          <t>Değer</t>
        </is>
      </c>
      <c r="F4" s="3" t="inlineStr"/>
    </row>
    <row r="5">
      <c r="A5" s="23" t="inlineStr">
        <is>
          <t>Güvenli sınır (otomatik)</t>
        </is>
      </c>
      <c r="B5" s="21" t="inlineStr">
        <is>
          <t>Her zaman; kişiye sorulmaz</t>
        </is>
      </c>
      <c r="C5" s="21" t="inlineStr">
        <is>
          <t>Sınır = başlangıç kasası + kilitli para. Kart: "Bugünkü kuponun X €, güvenli sınırın Y €". "Güvenli sınır nedir?" altında kısa açıklama.</t>
        </is>
      </c>
      <c r="D5" s="21" t="inlineStr">
        <is>
          <t>Zihinsel muhasebe: başlangıç kasası kişinin kaybetmeyi baştan kabul ettiği bütçedir (Thaler 1999). Kasanın parası etkisi: kazançtan sonra risk fark edilmeden artar, bu yüzden sınır kazançla değil yalnızca kilitli parayla büyür (Thaler &amp; Johnson 1990). Tutar büyüdükçe beklenen hayal kırıklığı ve temkin artar (Weber &amp; Chapman 2005).</t>
        </is>
      </c>
      <c r="E5" s="21" t="inlineStr">
        <is>
          <t>limitGrowth = 1,0</t>
        </is>
      </c>
      <c r="F5" s="21" t="inlineStr"/>
    </row>
    <row r="6">
      <c r="A6" s="23" t="inlineStr">
        <is>
          <t>Işık</t>
        </is>
      </c>
      <c r="B6" s="21" t="inlineStr">
        <is>
          <t>Her gün kasa girildiğinde</t>
        </is>
      </c>
      <c r="C6" s="21" t="inlineStr">
        <is>
          <t>🟢 kupon ≤ %75 sınır · 🟡 %75–100 · 🔴 sınırı geçti</t>
        </is>
      </c>
      <c r="D6" s="21" t="inlineStr">
        <is>
          <t>Tek bakışta anlaşılır; "konfor tutarının 2,5 katı" gibi hesap yok.</t>
        </is>
      </c>
      <c r="E6" s="21" t="inlineStr">
        <is>
          <t>watchRatio = %75</t>
        </is>
      </c>
      <c r="F6" s="21" t="inlineStr"/>
    </row>
    <row r="7">
      <c r="A7" s="23" t="inlineStr">
        <is>
          <t>Kilitle (tek kural)</t>
        </is>
      </c>
      <c r="B7" s="21" t="inlineStr">
        <is>
          <t>Bugünkü kupon &gt; rahat sınır</t>
        </is>
      </c>
      <c r="C7" s="21" t="inlineStr">
        <is>
          <t>Tek buton: "🔒 X € kilitle". Kupon, sınırın dörtte birine iner.</t>
        </is>
      </c>
      <c r="D7" s="21" t="inlineStr">
        <is>
          <t>Kayıptan kaçınma: kaybın acısı kazancın keyfinden ~2,25 kat güçlü (Tversky &amp; Kahneman 1992). Kuponu belirgin biçimde (4 kat) küçültmek bir sonraki durağa kadar rahat bir alan bırakır.</t>
        </is>
      </c>
      <c r="E7" s="21" t="inlineStr">
        <is>
          <t>resetRatio = 0,25</t>
        </is>
      </c>
      <c r="F7" s="21" t="inlineStr"/>
    </row>
    <row r="8">
      <c r="A8" s="23" t="inlineStr">
        <is>
          <t>Mola uyarısı</t>
        </is>
      </c>
      <c r="B8" s="21" t="inlineStr">
        <is>
          <t>Oyundaki kasa son kilitlemeden beri zirvesinin %30 altına indiğinde</t>
        </is>
      </c>
      <c r="C8" s="21" t="inlineStr">
        <is>
          <t>Sadece mesaj: "Bugün mola vermeyi düşün". Para hareketi önerilmez.</t>
        </is>
      </c>
      <c r="D8" s="21" t="inlineStr">
        <is>
          <t>Kaybı kovalama: kayıptan sonra risk artırma eğilimi en pahalı hatadır.</t>
        </is>
      </c>
      <c r="E8" s="21" t="inlineStr">
        <is>
          <t>drawdownPct = %30</t>
        </is>
      </c>
      <c r="F8" s="21" t="inlineStr"/>
    </row>
    <row r="9">
      <c r="A9" s="23" t="inlineStr">
        <is>
          <t>Hedef</t>
        </is>
      </c>
      <c r="B9" s="21" t="inlineStr">
        <is>
          <t>Her zaman</t>
        </is>
      </c>
      <c r="C9" s="21" t="inlineStr">
        <is>
          <t>Hedef ve toplam büyüme = oyundaki + kilitli. Günlük değişim = oyundaki kasa. Grafik: mavi oyundaki + üstünde yeşil kilitli, yanında kırmızı hedef.</t>
        </is>
      </c>
      <c r="D9" s="21" t="inlineStr">
        <is>
          <t>Kilitli para hedefe sayılmazsa kilitlemek cezalandırılmış olur ve kişi kilitlemekten kaçınır; sayılırsa ödül gibi hissedilir.</t>
        </is>
      </c>
      <c r="E9" s="21" t="inlineStr"/>
      <c r="F9" s="21" t="inlineStr"/>
    </row>
    <row r="10">
      <c r="A10" s="23" t="inlineStr">
        <is>
          <t>Sonraki kilit</t>
        </is>
      </c>
      <c r="B10" s="21" t="inlineStr">
        <is>
          <t>Kilitleme önerisi yokken</t>
        </is>
      </c>
      <c r="C10" s="21" t="inlineStr">
        <is>
          <t>Tek cümle: "Sonraki kilit: kasan ~X € olunca."</t>
        </is>
      </c>
      <c r="D10" s="21" t="inlineStr">
        <is>
          <t>Sıradaki durağı önceden bilmek sürprizi ve anlık heyecanla karar vermeyi azaltır. Duraklar kasanın her ~2,3 katına çıkışında gelir; para algısı orantısal olduğu için (Weber-Fechner) eşit aralıklı hissedilir.</t>
        </is>
      </c>
      <c r="E10" s="21" t="inlineStr"/>
      <c r="F10" s="21" t="inlineStr"/>
    </row>
    <row r="11">
      <c r="A11" s="23" t="inlineStr">
        <is>
          <t>Kullanıcı kontrolü</t>
        </is>
      </c>
      <c r="B11" s="21" t="inlineStr">
        <is>
          <t>Her zaman</t>
        </is>
      </c>
      <c r="C11" s="21" t="inlineStr">
        <is>
          <t>Kilitle / Geri al (tutar sorulur) / Son işlemi geri al. Aynı gün işlem yapıldıysa o gün yeni öneri çıkmaz.</t>
        </is>
      </c>
      <c r="D11" s="21" t="inlineStr">
        <is>
          <t>Kontrol kişide kalır; sistem sadece önerir.</t>
        </is>
      </c>
      <c r="E11" s="21" t="inlineStr"/>
      <c r="F11" s="21" t="inlineStr"/>
    </row>
    <row r="13" ht="44" customHeight="1">
      <c r="A13" s="2" t="inlineStr">
        <is>
          <t>Kilitleme tutarı: x = (f·W − r·L0 − r·a·Kilitli) / (f + r·a) → sonrasında kupon f·(W−x) = r·(L0 + a·(Kilitli+x)). f = oynanan pay (Minimum %25, Medium/High %50), W = oyundaki kasa, L0 = seçilen rahat sınır, r = 0,25, a = 1,0. 100 € üstü 10'luk aşağı yuvarlanır.</t>
        </is>
      </c>
    </row>
    <row r="15">
      <c r="A15" s="26" t="inlineStr">
        <is>
          <t>Durak sayısı nasıl belirleniyor?</t>
        </is>
      </c>
    </row>
    <row r="16" ht="72" customHeight="1">
      <c r="A16" s="30" t="inlineStr">
        <is>
          <t>Durak sayısı sabit bir hedef değil; kuponun rahat sınırı geçtiği her an bir durak oluşur. Bu kurala göre duraklar kasanın her ~2,3 katına çıkışında gelir, yani para algısı açısından eşit aralıklıdır. Yolculuk ne kadar uzunsa (hedef/başlangıç oranı) o kadar durak çıkar: 20 kat → 2–3, 50 kat → 3–5, 200 kat → 4–6. Bu, kişiyi her gün rahatsız etmeden (en sık haftada bir) ama kupon büyüdükçe mutlaka durduracak bir sıklıktır. High riskte kasa hızlı büyüdüğü için duraklar daha sık gelir; hızlı yükselişin heyecanı da daha erken dengelenmiş olur. İlk durak çoğu planda kendiliğinden "anaparanı kilitle" olur (ör. 100 €'da 50 €).</t>
        </is>
      </c>
    </row>
    <row r="18">
      <c r="A18" s="3" t="inlineStr">
        <is>
          <t>Plan (başlangıç → hedef, risk)</t>
        </is>
      </c>
      <c r="B18" s="3" t="inlineStr">
        <is>
          <t>Koçsuz: hedefe gün / en yüksek kupon</t>
        </is>
      </c>
      <c r="C18" s="3" t="inlineStr">
        <is>
          <t>Güven Payı ile: hedefe gün / en yüksek kupon</t>
        </is>
      </c>
      <c r="D18" s="3" t="inlineStr">
        <is>
          <t>Durak sayısı</t>
        </is>
      </c>
      <c r="E18" s="3" t="inlineStr">
        <is>
          <t>Duraklar (toplam kasa → kilitlenen)</t>
        </is>
      </c>
      <c r="F18" s="3" t="inlineStr"/>
    </row>
    <row r="19">
      <c r="A19" s="21" t="inlineStr">
        <is>
          <t>50 → 10.000 €, Minimum</t>
        </is>
      </c>
      <c r="B19" s="21" t="inlineStr">
        <is>
          <t>56 gün / 2.363 €</t>
        </is>
      </c>
      <c r="C19" s="21" t="inlineStr">
        <is>
          <t>73 gün / 1.795 €</t>
        </is>
      </c>
      <c r="D19" s="21" t="n">
        <v>4</v>
      </c>
      <c r="E19" s="21" t="inlineStr">
        <is>
          <t>209 → 79 · 621 → 200 · 1.710 → 550 · 4.507 → 1.390</t>
        </is>
      </c>
      <c r="F19" s="21" t="inlineStr"/>
    </row>
    <row r="20">
      <c r="A20" s="21" t="inlineStr">
        <is>
          <t>50 → 10.000 €, Medium</t>
        </is>
      </c>
      <c r="B20" s="21" t="inlineStr">
        <is>
          <t>38 gün / 4.403 €</t>
        </is>
      </c>
      <c r="C20" s="21" t="inlineStr">
        <is>
          <t>65 gün / 3.078 €</t>
        </is>
      </c>
      <c r="D20" s="21" t="n">
        <v>6</v>
      </c>
      <c r="E20" s="21" t="inlineStr">
        <is>
          <t>101 → 50 · 255 → 100 · 573 → 210 · 1.222 → 430 · 2.538 → 880 · 5.180 → 1.760</t>
        </is>
      </c>
      <c r="F20" s="21" t="inlineStr"/>
    </row>
    <row r="21">
      <c r="A21" s="21" t="inlineStr">
        <is>
          <t>50 → 10.000 €, High</t>
        </is>
      </c>
      <c r="B21" s="21" t="inlineStr">
        <is>
          <t>24 gün / 4.235 €</t>
        </is>
      </c>
      <c r="C21" s="21" t="inlineStr">
        <is>
          <t>40 gün / 2.547 €</t>
        </is>
      </c>
      <c r="D21" s="21" t="n">
        <v>6</v>
      </c>
      <c r="E21" s="21" t="inlineStr">
        <is>
          <t>122 → 64 · 341 → 140 · 726 → 260 · 1.714 → 660 · 3.939 → 1.480 · 8.972 → 3.360</t>
        </is>
      </c>
      <c r="F21" s="21" t="inlineStr"/>
    </row>
    <row r="22">
      <c r="A22" s="21" t="inlineStr">
        <is>
          <t>100 → 5.000 €, Minimum</t>
        </is>
      </c>
      <c r="B22" s="21" t="inlineStr">
        <is>
          <t>42 gün / 1.245 €</t>
        </is>
      </c>
      <c r="C22" s="21" t="inlineStr">
        <is>
          <t>52 gün / 804 €</t>
        </is>
      </c>
      <c r="D22" s="21" t="n">
        <v>3</v>
      </c>
      <c r="E22" s="21" t="inlineStr">
        <is>
          <t>418 → 150 · 1.167 → 380 · 3.190 → 1.010</t>
        </is>
      </c>
      <c r="F22" s="21" t="inlineStr"/>
    </row>
    <row r="23">
      <c r="A23" s="21" t="inlineStr">
        <is>
          <t>100 → 5.000 €, Medium</t>
        </is>
      </c>
      <c r="B23" s="21" t="inlineStr">
        <is>
          <t>28 gün / 2.177 €</t>
        </is>
      </c>
      <c r="C23" s="21" t="inlineStr">
        <is>
          <t>46 gün / 1.484 €</t>
        </is>
      </c>
      <c r="D23" s="21" t="n">
        <v>5</v>
      </c>
      <c r="E23" s="21" t="inlineStr">
        <is>
          <t>201 → 100 · 509 → 200 · 1.146 → 430 · 2.413 → 840 · 4.982 → 1.710</t>
        </is>
      </c>
      <c r="F23" s="21" t="inlineStr"/>
    </row>
    <row r="24">
      <c r="A24" s="21" t="inlineStr">
        <is>
          <t>100 → 5.000 €, High</t>
        </is>
      </c>
      <c r="B24" s="21" t="inlineStr">
        <is>
          <t>18 gün / 2.220 €</t>
        </is>
      </c>
      <c r="C24" s="21" t="inlineStr">
        <is>
          <t>28 gün / 1.177 €</t>
        </is>
      </c>
      <c r="D24" s="21" t="n">
        <v>4</v>
      </c>
      <c r="E24" s="21" t="inlineStr">
        <is>
          <t>244 → 120 · 594 → 240 · 1.474 → 580 · 3.485 → 1.340</t>
        </is>
      </c>
      <c r="F24" s="21" t="inlineStr"/>
    </row>
    <row r="25">
      <c r="A25" s="21" t="inlineStr">
        <is>
          <t>50 → 1.000 €, Minimum</t>
        </is>
      </c>
      <c r="B25" s="21" t="inlineStr">
        <is>
          <t>32 gün / 240 €</t>
        </is>
      </c>
      <c r="C25" s="21" t="inlineStr">
        <is>
          <t>38 gün / 167 €</t>
        </is>
      </c>
      <c r="D25" s="21" t="n">
        <v>2</v>
      </c>
      <c r="E25" s="21" t="inlineStr">
        <is>
          <t>209 → 79 · 621 → 200</t>
        </is>
      </c>
      <c r="F25" s="21" t="inlineStr"/>
    </row>
    <row r="26">
      <c r="A26" s="21" t="inlineStr">
        <is>
          <t>50 → 1.000 €, Medium</t>
        </is>
      </c>
      <c r="B26" s="21" t="inlineStr">
        <is>
          <t>22 gün / 471 €</t>
        </is>
      </c>
      <c r="C26" s="21" t="inlineStr">
        <is>
          <t>33 gün / 283 €</t>
        </is>
      </c>
      <c r="D26" s="21" t="n">
        <v>3</v>
      </c>
      <c r="E26" s="21" t="inlineStr">
        <is>
          <t>101 → 50 · 255 → 100 · 573 → 210</t>
        </is>
      </c>
      <c r="F26" s="21" t="inlineStr"/>
    </row>
    <row r="27">
      <c r="A27" s="21" t="inlineStr">
        <is>
          <t>50 → 1.000 €, High</t>
        </is>
      </c>
      <c r="B27" s="21" t="inlineStr">
        <is>
          <t>14 gün / 455 €</t>
        </is>
      </c>
      <c r="C27" s="21" t="inlineStr">
        <is>
          <t>21 gün / 256 €</t>
        </is>
      </c>
      <c r="D27" s="21" t="n">
        <v>3</v>
      </c>
      <c r="E27" s="21" t="inlineStr">
        <is>
          <t>122 → 64 · 341 → 140 · 726 → 260</t>
        </is>
      </c>
      <c r="F27" s="21" t="inlineStr"/>
    </row>
    <row r="28" ht="36" customHeight="1">
      <c r="A28" s="2" t="inlineStr">
        <is>
          <t>Kaynak: js/paper_engine.js getEICoach / eiProject, 2026-09-26; güvenli sınır = başlangıç kasası + kilitli para, her gün teorik büyüme gerçekleşirse. Güven Payı ile hedefe ulaşmak daha uzun sürer; karşılığında en yüksek kupon %24–47 küçülür ve yol boyunca kasanın bir kısmı kalıcı olarak güvende olur.</t>
        </is>
      </c>
    </row>
    <row r="30">
      <c r="A30" s="26" t="inlineStr">
        <is>
          <t>Dış kaynaklar</t>
        </is>
      </c>
    </row>
    <row r="31">
      <c r="A31" s="3" t="inlineStr">
        <is>
          <t>Kaynak</t>
        </is>
      </c>
      <c r="B31" s="3" t="inlineStr">
        <is>
          <t>Ne için</t>
        </is>
      </c>
      <c r="C31" s="3" t="inlineStr">
        <is>
          <t>Bağlantı</t>
        </is>
      </c>
      <c r="D31" s="3" t="inlineStr"/>
      <c r="E31" s="3" t="inlineStr"/>
      <c r="F31" s="3" t="inlineStr"/>
    </row>
    <row r="32">
      <c r="A32" s="21" t="inlineStr">
        <is>
          <t>Thaler &amp; Johnson (1990), Management Science 36(6)</t>
        </is>
      </c>
      <c r="B32" s="21" t="inlineStr">
        <is>
          <t>Kasanın parası ve başa baş etkisi</t>
        </is>
      </c>
      <c r="C32" s="21" t="inlineStr">
        <is>
          <t>https://pubsonline.informs.org/doi/abs/10.1287/mnsc.36.6.643</t>
        </is>
      </c>
      <c r="D32" s="21" t="inlineStr"/>
      <c r="E32" s="21" t="inlineStr"/>
      <c r="F32" s="21" t="inlineStr"/>
    </row>
    <row r="33">
      <c r="A33" s="21" t="inlineStr">
        <is>
          <t>Thaler (1999), Mental Accounting Matters</t>
        </is>
      </c>
      <c r="B33" s="21" t="inlineStr">
        <is>
          <t>Zihinsel muhasebe: bütçe ve referans noktası</t>
        </is>
      </c>
      <c r="C33" s="21" t="inlineStr">
        <is>
          <t>https://www-apache.anderson.ucla.edu/faculty_pages/keith.chen/negot.%20papers/Thaler_MentalAccounting99.pdf</t>
        </is>
      </c>
      <c r="D33" s="21" t="inlineStr"/>
      <c r="E33" s="21" t="inlineStr"/>
      <c r="F33" s="21" t="inlineStr"/>
    </row>
    <row r="34">
      <c r="A34" s="21" t="inlineStr">
        <is>
          <t>Tversky &amp; Kahneman (1992); kayıptan kaçınma meta-analizi</t>
        </is>
      </c>
      <c r="B34" s="21" t="inlineStr">
        <is>
          <t>Kayıp ≈ 2,25 × kazanç (bağlama göre değişir)</t>
        </is>
      </c>
      <c r="C34" s="21" t="inlineStr">
        <is>
          <t>https://www.sciencedirect.com/science/article/pii/S0167487024000485</t>
        </is>
      </c>
      <c r="D34" s="21" t="inlineStr"/>
      <c r="E34" s="21" t="inlineStr"/>
      <c r="F34" s="21" t="inlineStr"/>
    </row>
    <row r="35">
      <c r="A35" s="21" t="inlineStr">
        <is>
          <t>Weber &amp; Chapman (2005), OBHDP</t>
        </is>
      </c>
      <c r="B35" s="21" t="inlineStr">
        <is>
          <t>Peanuts etkisi: tutar büyüdükçe temkin artar</t>
        </is>
      </c>
      <c r="C35" s="21" t="inlineStr">
        <is>
          <t>https://www.sciencedirect.com/science/article/abs/pii/S0749597805000361</t>
        </is>
      </c>
      <c r="D35" s="21" t="inlineStr"/>
      <c r="E35" s="21" t="inlineStr"/>
      <c r="F35" s="21" t="inlineStr"/>
    </row>
    <row r="36">
      <c r="A36" s="21" t="inlineStr">
        <is>
          <t>Lower-Risk Gambling Guidelines, CCSA (2021)</t>
        </is>
      </c>
      <c r="B36" s="21" t="inlineStr">
        <is>
          <t>Hanehalkı gelirinin aylık en fazla %1'i, ayda en fazla 4 gün</t>
        </is>
      </c>
      <c r="C36" s="21" t="inlineStr">
        <is>
          <t>https://gamblingguidelines.ca/lower-risk-gambling-guidelines/what-are-the-guidelines/</t>
        </is>
      </c>
      <c r="D36" s="21" t="inlineStr"/>
      <c r="E36" s="21" t="inlineStr"/>
      <c r="F36" s="21" t="inlineStr"/>
    </row>
    <row r="37">
      <c r="A37" s="21" t="inlineStr">
        <is>
          <t>Bahis kasa yönetimi rehberleri (ör. Covers)</t>
        </is>
      </c>
      <c r="B37" s="21" t="inlineStr">
        <is>
          <t>Profesyonel standart: bahis başına kasanın %1–5'i</t>
        </is>
      </c>
      <c r="C37" s="21" t="inlineStr">
        <is>
          <t>https://www.covers.com/guides/sports-betting-bank-roll-management-and-roi</t>
        </is>
      </c>
      <c r="D37" s="21" t="inlineStr"/>
      <c r="E37" s="21" t="inlineStr"/>
      <c r="F37" s="21" t="inlineStr"/>
    </row>
    <row r="38" ht="36" customHeight="1">
      <c r="A38" s="2" t="inlineStr">
        <is>
          <t>Not: Sitenin büyüme modeli günlük kasanın %25–50'si ile oynar; bu, profesyonel %1–5 standardının çok üstündedir. Güven Payı bu yüksek tempoyu değiştirmez; tempo nedeniyle büyüyen kupon tutarının yarattığı stresi sınırlar.</t>
        </is>
      </c>
    </row>
  </sheetData>
  <mergeCells count="5">
    <mergeCell ref="A38:F38"/>
    <mergeCell ref="A2:F2"/>
    <mergeCell ref="A16:F16"/>
    <mergeCell ref="A28:F28"/>
    <mergeCell ref="A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2026-09-26T10:24:17Z</dcterms:created>
  <dcterms:modified xsi:type="dcterms:W3CDTF">2026-09-28T11:40:24Z</dcterms:modified>
</cp:coreProperties>
</file>