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İş Listesi" sheetId="1" state="visible" r:id="rId1"/>
    <sheet name="Özet" sheetId="2" state="visible" r:id="rId2"/>
  </sheets>
  <definedNames>
    <definedName name="_xlnm._FilterDatabase" localSheetId="0" hidden="1">'İş Listesi'!$A$4:$N$500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DD.MM.YYYY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164" fontId="4" fillId="0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6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2" fillId="0" borderId="0" pivotButton="0" quotePrefix="0" xfId="0"/>
    <xf numFmtId="165" fontId="4" fillId="0" borderId="1" applyAlignment="1" pivotButton="0" quotePrefix="0" xfId="0">
      <alignment horizontal="left" vertical="top" wrapText="1"/>
    </xf>
    <xf numFmtId="165" fontId="0" fillId="0" borderId="0" pivotButton="0" quotePrefix="0" xfId="0"/>
  </cellXfs>
  <cellStyles count="1">
    <cellStyle name="Normal" xfId="0" builtinId="0" hidden="0"/>
  </cellStyles>
  <dxfs count="6">
    <dxf>
      <font>
        <b val="1"/>
        <color rgb="007F6000"/>
      </font>
      <fill>
        <patternFill patternType="solid">
          <fgColor rgb="00FFF2CC"/>
          <bgColor rgb="00FFF2CC"/>
        </patternFill>
      </fill>
    </dxf>
    <dxf>
      <font>
        <b val="1"/>
        <color rgb="001F3864"/>
      </font>
      <fill>
        <patternFill patternType="solid">
          <fgColor rgb="00DDEBF7"/>
          <bgColor rgb="00DDEBF7"/>
        </patternFill>
      </fill>
    </dxf>
    <dxf>
      <font>
        <b val="1"/>
        <color rgb="00833C0B"/>
      </font>
      <fill>
        <patternFill patternType="solid">
          <fgColor rgb="00FCE4D6"/>
          <bgColor rgb="00FCE4D6"/>
        </patternFill>
      </fill>
    </dxf>
    <dxf>
      <font>
        <b val="1"/>
        <color rgb="004B2E83"/>
      </font>
      <fill>
        <patternFill patternType="solid">
          <fgColor rgb="00EDE7F6"/>
          <bgColor rgb="00EDE7F6"/>
        </patternFill>
      </fill>
    </dxf>
    <dxf>
      <font>
        <b val="1"/>
        <color rgb="00375623"/>
      </font>
      <fill>
        <patternFill patternType="solid">
          <fgColor rgb="00E2EFDA"/>
          <bgColor rgb="00E2EFDA"/>
        </patternFill>
      </fill>
    </dxf>
    <dxf>
      <font>
        <b val="1"/>
        <color rgb="007F7F7F"/>
      </font>
      <fill>
        <patternFill patternType="solid">
          <fgColor rgb="00EDEDED"/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5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34" customWidth="1" min="3" max="3"/>
    <col width="62" customWidth="1" min="4" max="4"/>
    <col width="20" customWidth="1" min="5" max="5"/>
    <col width="10" customWidth="1" min="6" max="6"/>
    <col width="8" customWidth="1" min="7" max="7"/>
    <col width="12" customWidth="1" min="8" max="8"/>
    <col width="14" customWidth="1" min="9" max="9"/>
    <col width="12" customWidth="1" min="10" max="10"/>
    <col width="28" customWidth="1" min="11" max="11"/>
    <col width="13" customWidth="1" min="12" max="12"/>
    <col width="13" customWidth="1" min="13" max="13"/>
    <col width="34" customWidth="1" min="14" max="14"/>
  </cols>
  <sheetData>
    <row r="1">
      <c r="A1" s="1" t="inlineStr">
        <is>
          <t>BETAVUS İş Listesi</t>
        </is>
      </c>
    </row>
    <row r="2" ht="48" customHeight="1">
      <c r="A2" s="2" t="inlineStr">
        <is>
          <t>Nasıl kullanılır: Yeni fikir = yeni satır, Durum "Öneri" (karar bekliyor). Claude her oturumda listeyi okur ve "Öneri" satırlarını "şimdi yapayım mı, plana mı alayım?" diye sorar. Plana alınan iş = "Açık", üzerinde çalışılan = "Devam ediyor", iş bitince Claude "Tamamlandı" yapar, Kapanış Tarihi ile Commit'i doldurur. Önce Faz 1 (teknik veri doğruluğu), sonra Faz 2 (arayüz). Excel'de düzenlemeden önce Pull, kaydettikten hemen sonra Commit + Push.</t>
        </is>
      </c>
    </row>
    <row r="4">
      <c r="A4" s="3" t="inlineStr">
        <is>
          <t>No</t>
        </is>
      </c>
      <c r="B4" s="3" t="inlineStr">
        <is>
          <t>Segment</t>
        </is>
      </c>
      <c r="C4" s="3" t="inlineStr">
        <is>
          <t>Başlık</t>
        </is>
      </c>
      <c r="D4" s="3" t="inlineStr">
        <is>
          <t>Açıklama / Kapsam</t>
        </is>
      </c>
      <c r="E4" s="3" t="inlineStr">
        <is>
          <t>Kaynak</t>
        </is>
      </c>
      <c r="F4" s="3" t="inlineStr">
        <is>
          <t>Öncelik</t>
        </is>
      </c>
      <c r="G4" s="3" t="inlineStr">
        <is>
          <t>Faz</t>
        </is>
      </c>
      <c r="H4" s="3" t="inlineStr">
        <is>
          <t>Durum</t>
        </is>
      </c>
      <c r="I4" s="3" t="inlineStr">
        <is>
          <t>Sorumlu</t>
        </is>
      </c>
      <c r="J4" s="3" t="inlineStr">
        <is>
          <t>Hedef Tarih</t>
        </is>
      </c>
      <c r="K4" s="3" t="inlineStr">
        <is>
          <t>Not</t>
        </is>
      </c>
      <c r="L4" s="3" t="inlineStr">
        <is>
          <t>Eklenme Tarihi</t>
        </is>
      </c>
      <c r="M4" s="3" t="inlineStr">
        <is>
          <t>Kapanış Tarihi</t>
        </is>
      </c>
      <c r="N4" s="3" t="inlineStr">
        <is>
          <t>Commit / Yapılan</t>
        </is>
      </c>
    </row>
    <row r="5">
      <c r="A5" s="4" t="n">
        <v>1</v>
      </c>
      <c r="B5" s="5" t="inlineStr">
        <is>
          <t>1 - Teknik: Veri Doğruluğu</t>
        </is>
      </c>
      <c r="C5" s="6" t="inlineStr">
        <is>
          <t>Sanal Kasa: mental kontrol mekanizması + cashout stratejisi</t>
        </is>
      </c>
      <c r="D5" s="7" t="inlineStr">
        <is>
          <t>Günlük kayıp limiti / stop-loss, üst üste kayıpta uyarı ve bekleme süresi (tilt koruması), hedefe yaklaşınca kısmi kâr çekme (cashout) kuralları. Hesaplama js/paper_engine.js'e, gösterim Sanal Kasa ekranına.</t>
        </is>
      </c>
      <c r="E5" s="7" t="inlineStr">
        <is>
          <t>Ekip listesi (Gökhan)</t>
        </is>
      </c>
      <c r="F5" s="4" t="inlineStr">
        <is>
          <t>Yüksek</t>
        </is>
      </c>
      <c r="G5" s="4" t="inlineStr">
        <is>
          <t>Faz 1</t>
        </is>
      </c>
      <c r="H5" s="4" t="inlineStr">
        <is>
          <t>Açık</t>
        </is>
      </c>
      <c r="I5" s="7" t="inlineStr"/>
      <c r="J5" s="8" t="inlineStr"/>
      <c r="K5" s="7" t="inlineStr"/>
      <c r="L5" s="19" t="n">
        <v>46291</v>
      </c>
      <c r="M5" s="19" t="n"/>
      <c r="N5" s="7" t="n"/>
    </row>
    <row r="6">
      <c r="A6" s="4" t="n">
        <v>2</v>
      </c>
      <c r="B6" s="5" t="inlineStr">
        <is>
          <t>1 - Teknik: Veri Doğruluğu</t>
        </is>
      </c>
      <c r="C6" s="6" t="inlineStr">
        <is>
          <t>Takım kara listesi</t>
        </is>
      </c>
      <c r="D6" s="7" t="inlineStr">
        <is>
          <t>Tahminleri sistematik olarak tutmayan takımların backtest ile tespiti; bu takımların vurgulu listeden ve kupon önerilerinden çıkarılması (liste + gerekçe/isabet oranı).</t>
        </is>
      </c>
      <c r="E6" s="7" t="inlineStr">
        <is>
          <t>Ekip listesi (Gökhan)</t>
        </is>
      </c>
      <c r="F6" s="4" t="inlineStr">
        <is>
          <t>Yüksek</t>
        </is>
      </c>
      <c r="G6" s="4" t="inlineStr">
        <is>
          <t>Faz 1</t>
        </is>
      </c>
      <c r="H6" s="4" t="inlineStr">
        <is>
          <t>Açık</t>
        </is>
      </c>
      <c r="I6" s="7" t="inlineStr"/>
      <c r="J6" s="8" t="inlineStr"/>
      <c r="K6" s="7" t="inlineStr"/>
      <c r="L6" s="19" t="n">
        <v>46291</v>
      </c>
      <c r="M6" s="19" t="n"/>
      <c r="N6" s="7" t="n"/>
    </row>
    <row r="7">
      <c r="A7" s="4" t="n">
        <v>3</v>
      </c>
      <c r="B7" s="5" t="inlineStr">
        <is>
          <t>1 - Teknik: Veri Doğruluğu</t>
        </is>
      </c>
      <c r="C7" s="6" t="inlineStr">
        <is>
          <t>Kasa risk temelli kupon öneri sayfası</t>
        </is>
      </c>
      <c r="D7" s="7" t="inlineStr">
        <is>
          <t>Kasanın risk seviyesine (Minimum / Orta / Yüksek) göre maç sayısı, oran aralığı ve olasılık eşiği seçen kupon önerisi. Önce öneri mantığı backtest ile doğrulanmalı, sonra sayfa tasarımı.</t>
        </is>
      </c>
      <c r="E7" s="7" t="inlineStr">
        <is>
          <t>Ekip listesi (Gökhan)</t>
        </is>
      </c>
      <c r="F7" s="4" t="inlineStr">
        <is>
          <t>Yüksek</t>
        </is>
      </c>
      <c r="G7" s="4" t="inlineStr">
        <is>
          <t>Faz 1</t>
        </is>
      </c>
      <c r="H7" s="4" t="inlineStr">
        <is>
          <t>Açık</t>
        </is>
      </c>
      <c r="I7" s="7" t="inlineStr"/>
      <c r="J7" s="8" t="inlineStr"/>
      <c r="K7" s="7" t="inlineStr"/>
      <c r="L7" s="19" t="n">
        <v>46291</v>
      </c>
      <c r="M7" s="19" t="n"/>
      <c r="N7" s="7" t="n"/>
    </row>
    <row r="8">
      <c r="A8" s="4" t="n">
        <v>4</v>
      </c>
      <c r="B8" s="5" t="inlineStr">
        <is>
          <t>1 - Teknik: Veri Doğruluğu</t>
        </is>
      </c>
      <c r="C8" s="6" t="inlineStr">
        <is>
          <t>Canlı isabet takibi ve kalibrasyon kontrolü</t>
        </is>
      </c>
      <c r="D8" s="7" t="inlineStr">
        <is>
          <t>Gösterilen olasılık ile gerçekleşen isabet oranının pazar ve lig bazında düzenli karşılaştırılması (ör. %93,5 gösterilen maçlar gerçekte %93 mü tutuyor).</t>
        </is>
      </c>
      <c r="E8" s="7" t="inlineStr">
        <is>
          <t>Öneri (Claude - kod tabanından)</t>
        </is>
      </c>
      <c r="F8" s="4" t="inlineStr">
        <is>
          <t>Yüksek</t>
        </is>
      </c>
      <c r="G8" s="4" t="inlineStr">
        <is>
          <t>Faz 1</t>
        </is>
      </c>
      <c r="H8" s="4" t="inlineStr">
        <is>
          <t>Öneri</t>
        </is>
      </c>
      <c r="I8" s="7" t="inlineStr"/>
      <c r="J8" s="8" t="inlineStr"/>
      <c r="K8" s="7" t="inlineStr"/>
      <c r="L8" s="19" t="n">
        <v>46291</v>
      </c>
      <c r="M8" s="19" t="n"/>
      <c r="N8" s="7" t="n"/>
    </row>
    <row r="9">
      <c r="A9" s="4" t="n">
        <v>5</v>
      </c>
      <c r="B9" s="5" t="inlineStr">
        <is>
          <t>1 - Teknik: Veri Doğruluğu</t>
        </is>
      </c>
      <c r="C9" s="6" t="inlineStr">
        <is>
          <t>Avrupa kupaları (UCL/UEL/UECL) için ayrı backtest</t>
        </is>
      </c>
      <c r="D9" s="7" t="inlineStr">
        <is>
          <t>Ligler arası takım gücü farkı lig modelini bozduğu için kupalar şu an vurgudan hariç; ayrı model/backtest gerekli.</t>
        </is>
      </c>
      <c r="E9" s="7" t="inlineStr">
        <is>
          <t>Öneri (Claude - kod tabanından)</t>
        </is>
      </c>
      <c r="F9" s="4" t="inlineStr">
        <is>
          <t>Orta</t>
        </is>
      </c>
      <c r="G9" s="4" t="inlineStr">
        <is>
          <t>Faz 1</t>
        </is>
      </c>
      <c r="H9" s="4" t="inlineStr">
        <is>
          <t>Öneri</t>
        </is>
      </c>
      <c r="I9" s="7" t="inlineStr"/>
      <c r="J9" s="8" t="inlineStr"/>
      <c r="K9" s="7" t="inlineStr"/>
      <c r="L9" s="19" t="n">
        <v>46291</v>
      </c>
      <c r="M9" s="19" t="n"/>
      <c r="N9" s="7" t="n"/>
    </row>
    <row r="10">
      <c r="A10" s="4" t="n">
        <v>6</v>
      </c>
      <c r="B10" s="5" t="inlineStr">
        <is>
          <t>1 - Teknik: Veri Doğruluğu</t>
        </is>
      </c>
      <c r="C10" s="6" t="inlineStr">
        <is>
          <t>Veri akışı doğrulama (saatlik bot)</t>
        </is>
      </c>
      <c r="D10" s="7" t="inlineStr">
        <is>
          <t>Saatlik tahmin güncellemesinde eksik/yinelenen maç, yanlış saat, sonuçlanmamış skor gibi durumların otomatik kontrolü.</t>
        </is>
      </c>
      <c r="E10" s="7" t="inlineStr">
        <is>
          <t>Öneri (Claude - kod tabanından)</t>
        </is>
      </c>
      <c r="F10" s="4" t="inlineStr">
        <is>
          <t>Orta</t>
        </is>
      </c>
      <c r="G10" s="4" t="inlineStr">
        <is>
          <t>Faz 1</t>
        </is>
      </c>
      <c r="H10" s="4" t="inlineStr">
        <is>
          <t>Öneri</t>
        </is>
      </c>
      <c r="I10" s="7" t="inlineStr"/>
      <c r="J10" s="8" t="inlineStr"/>
      <c r="K10" s="7" t="inlineStr"/>
      <c r="L10" s="19" t="n">
        <v>46291</v>
      </c>
      <c r="M10" s="19" t="n"/>
      <c r="N10" s="7" t="n"/>
    </row>
    <row r="11">
      <c r="A11" s="4" t="n">
        <v>7</v>
      </c>
      <c r="B11" s="5" t="inlineStr">
        <is>
          <t>1 - Teknik: Veri Doğruluğu</t>
        </is>
      </c>
      <c r="C11" s="6" t="inlineStr">
        <is>
          <t>Otomatik testlerin güncellenmesi</t>
        </is>
      </c>
      <c r="D11" s="7" t="inlineStr">
        <is>
          <t>scripts/test_paper_betting.py 10. ve sonraki testler eski Sanal Kasa ekranını kontrol ediyor ve başarısız; yeni tasarıma göre güncellenmeli.</t>
        </is>
      </c>
      <c r="E11" s="7" t="inlineStr">
        <is>
          <t>Öneri (Claude - kod tabanından)</t>
        </is>
      </c>
      <c r="F11" s="4" t="inlineStr">
        <is>
          <t>Düşük</t>
        </is>
      </c>
      <c r="G11" s="4" t="inlineStr">
        <is>
          <t>Faz 1</t>
        </is>
      </c>
      <c r="H11" s="4" t="inlineStr">
        <is>
          <t>Öneri</t>
        </is>
      </c>
      <c r="I11" s="7" t="inlineStr"/>
      <c r="J11" s="8" t="inlineStr"/>
      <c r="K11" s="7" t="inlineStr"/>
      <c r="L11" s="19" t="n">
        <v>46291</v>
      </c>
      <c r="M11" s="19" t="n"/>
      <c r="N11" s="7" t="n"/>
    </row>
    <row r="12">
      <c r="A12" s="4" t="n">
        <v>8</v>
      </c>
      <c r="B12" s="9" t="inlineStr">
        <is>
          <t>2 - Arayüz: Kullanılabilirlik &amp; Profesyonel Görünüm</t>
        </is>
      </c>
      <c r="C12" s="6" t="inlineStr">
        <is>
          <t>Rakip siteleri inceleyerek iyi yön analizi</t>
        </is>
      </c>
      <c r="D12" s="7" t="inlineStr">
        <is>
          <t>Benzer tahmin/istatistik sitelerinin güçlü yanlarının (sunum, filtreleme, güven göstergesi, mobil deneyim) listelenmesi ve BETAVUS'a uygulanabilecek maddelerin çıkarılması. Faz 2'nin yol haritasını belirler.</t>
        </is>
      </c>
      <c r="E12" s="7" t="inlineStr">
        <is>
          <t>Ekip listesi (Gökhan)</t>
        </is>
      </c>
      <c r="F12" s="4" t="inlineStr">
        <is>
          <t>Yüksek</t>
        </is>
      </c>
      <c r="G12" s="4" t="inlineStr">
        <is>
          <t>Faz 2</t>
        </is>
      </c>
      <c r="H12" s="4" t="inlineStr">
        <is>
          <t>Açık</t>
        </is>
      </c>
      <c r="I12" s="7" t="inlineStr"/>
      <c r="J12" s="8" t="inlineStr"/>
      <c r="K12" s="7" t="inlineStr"/>
      <c r="L12" s="19" t="n">
        <v>46291</v>
      </c>
      <c r="M12" s="19" t="n"/>
      <c r="N12" s="7" t="n"/>
    </row>
    <row r="13">
      <c r="A13" s="4" t="n">
        <v>9</v>
      </c>
      <c r="B13" s="9" t="inlineStr">
        <is>
          <t>2 - Arayüz: Kullanılabilirlik &amp; Profesyonel Görünüm</t>
        </is>
      </c>
      <c r="C13" s="6" t="inlineStr">
        <is>
          <t>Lig filtre görselini düzelt</t>
        </is>
      </c>
      <c r="D13" s="7" t="inlineStr">
        <is>
          <t>Lig filtresinin görünümü ve kullanımının iyileştirilmesi (hizalama, seçili durum, mobilde kullanım).</t>
        </is>
      </c>
      <c r="E13" s="7" t="inlineStr">
        <is>
          <t>Ekip listesi (Gökhan)</t>
        </is>
      </c>
      <c r="F13" s="4" t="inlineStr">
        <is>
          <t>Orta</t>
        </is>
      </c>
      <c r="G13" s="4" t="inlineStr">
        <is>
          <t>Faz 2</t>
        </is>
      </c>
      <c r="H13" s="4" t="inlineStr">
        <is>
          <t>Açık</t>
        </is>
      </c>
      <c r="I13" s="7" t="inlineStr"/>
      <c r="J13" s="8" t="inlineStr"/>
      <c r="K13" s="7" t="inlineStr"/>
      <c r="L13" s="19" t="n">
        <v>46291</v>
      </c>
      <c r="M13" s="19" t="n"/>
      <c r="N13" s="7" t="n"/>
    </row>
    <row r="14">
      <c r="A14" s="4" t="n">
        <v>10</v>
      </c>
      <c r="B14" s="9" t="inlineStr">
        <is>
          <t>2 - Arayüz: Kullanılabilirlik &amp; Profesyonel Görünüm</t>
        </is>
      </c>
      <c r="C14" s="6" t="inlineStr">
        <is>
          <t>Ana sayfa arka planını geliştir</t>
        </is>
      </c>
      <c r="D14" s="7" t="inlineStr">
        <is>
          <t>Ana sayfa arka planının daha profesyonel hale getirilmesi; açık/koyu tema ve mobilde kontrol.</t>
        </is>
      </c>
      <c r="E14" s="7" t="inlineStr">
        <is>
          <t>Ekip listesi (Gökhan)</t>
        </is>
      </c>
      <c r="F14" s="4" t="inlineStr">
        <is>
          <t>Orta</t>
        </is>
      </c>
      <c r="G14" s="4" t="inlineStr">
        <is>
          <t>Faz 2</t>
        </is>
      </c>
      <c r="H14" s="4" t="inlineStr">
        <is>
          <t>Açık</t>
        </is>
      </c>
      <c r="I14" s="7" t="inlineStr"/>
      <c r="J14" s="8" t="inlineStr"/>
      <c r="K14" s="7" t="inlineStr"/>
      <c r="L14" s="19" t="n">
        <v>46291</v>
      </c>
      <c r="M14" s="19" t="n"/>
      <c r="N14" s="7" t="n"/>
    </row>
    <row r="15">
      <c r="A15" s="4" t="n">
        <v>11</v>
      </c>
      <c r="B15" s="9" t="inlineStr">
        <is>
          <t>2 - Arayüz: Kullanılabilirlik &amp; Profesyonel Görünüm</t>
        </is>
      </c>
      <c r="C15" s="6" t="inlineStr">
        <is>
          <t>Mobil görünüm kontrolü</t>
        </is>
      </c>
      <c r="D15" s="7" t="inlineStr">
        <is>
          <t>Sanal Kasa kutucuklarında daha önce görülen taşma sorununun yeni tasarımda kontrolü; tüm sekmelerin telefon genişliğinde incelenmesi.</t>
        </is>
      </c>
      <c r="E15" s="7" t="inlineStr">
        <is>
          <t>Öneri (Claude - kod tabanından)</t>
        </is>
      </c>
      <c r="F15" s="4" t="inlineStr">
        <is>
          <t>Orta</t>
        </is>
      </c>
      <c r="G15" s="4" t="inlineStr">
        <is>
          <t>Faz 2</t>
        </is>
      </c>
      <c r="H15" s="4" t="inlineStr">
        <is>
          <t>Öneri</t>
        </is>
      </c>
      <c r="I15" s="7" t="inlineStr"/>
      <c r="J15" s="8" t="inlineStr"/>
      <c r="K15" s="7" t="inlineStr"/>
      <c r="L15" s="19" t="n">
        <v>46291</v>
      </c>
      <c r="M15" s="19" t="n"/>
      <c r="N15" s="7" t="n"/>
    </row>
    <row r="16">
      <c r="A16" s="4" t="n">
        <v>12</v>
      </c>
      <c r="B16" s="9" t="inlineStr">
        <is>
          <t>2 - Arayüz: Kullanılabilirlik &amp; Profesyonel Görünüm</t>
        </is>
      </c>
      <c r="C16" s="6" t="inlineStr">
        <is>
          <t>"Hesabımı sil" butonu</t>
        </is>
      </c>
      <c r="D16" s="7" t="inlineStr">
        <is>
          <t>Gizlilik sayfası hesap silmenin mümkün olduğunu söylüyor ama bir yol göstermiyor; Supabase'de SQL fonksiyonu + buton gerekli.</t>
        </is>
      </c>
      <c r="E16" s="7" t="inlineStr">
        <is>
          <t>Öneri (Claude - kod tabanından)</t>
        </is>
      </c>
      <c r="F16" s="4" t="inlineStr">
        <is>
          <t>Orta</t>
        </is>
      </c>
      <c r="G16" s="4" t="inlineStr">
        <is>
          <t>Faz 2</t>
        </is>
      </c>
      <c r="H16" s="4" t="inlineStr">
        <is>
          <t>Öneri</t>
        </is>
      </c>
      <c r="I16" s="7" t="inlineStr"/>
      <c r="J16" s="8" t="inlineStr"/>
      <c r="K16" s="7" t="inlineStr"/>
      <c r="L16" s="19" t="n">
        <v>46291</v>
      </c>
      <c r="M16" s="19" t="n"/>
      <c r="N16" s="7" t="n"/>
    </row>
    <row r="17">
      <c r="A17" s="4" t="n">
        <v>13</v>
      </c>
      <c r="B17" s="9" t="inlineStr">
        <is>
          <t>2 - Arayüz: Kullanılabilirlik &amp; Profesyonel Görünüm</t>
        </is>
      </c>
      <c r="C17" s="6" t="inlineStr">
        <is>
          <t>Hollandaca çevirilerin gözden geçirilmesi</t>
        </is>
      </c>
      <c r="D17" s="7" t="inlineStr">
        <is>
          <t>NL metinlerinin anadili Hollandaca olan biri tarafından kontrolü.</t>
        </is>
      </c>
      <c r="E17" s="7" t="inlineStr">
        <is>
          <t>Öneri (Claude - kod tabanından)</t>
        </is>
      </c>
      <c r="F17" s="4" t="inlineStr">
        <is>
          <t>Düşük</t>
        </is>
      </c>
      <c r="G17" s="4" t="inlineStr">
        <is>
          <t>Faz 2</t>
        </is>
      </c>
      <c r="H17" s="4" t="inlineStr">
        <is>
          <t>Öneri</t>
        </is>
      </c>
      <c r="I17" s="7" t="inlineStr"/>
      <c r="J17" s="8" t="inlineStr"/>
      <c r="K17" s="7" t="inlineStr"/>
      <c r="L17" s="19" t="n">
        <v>46291</v>
      </c>
      <c r="M17" s="19" t="n"/>
      <c r="N17" s="7" t="n"/>
    </row>
    <row r="18">
      <c r="L18" s="20" t="n"/>
    </row>
    <row r="19">
      <c r="L19" s="20" t="n"/>
    </row>
    <row r="20">
      <c r="L20" s="20" t="n"/>
    </row>
    <row r="21">
      <c r="L21" s="20" t="n"/>
    </row>
    <row r="22">
      <c r="L22" s="20" t="n"/>
    </row>
    <row r="23">
      <c r="L23" s="20" t="n"/>
    </row>
    <row r="24">
      <c r="L24" s="20" t="n"/>
    </row>
    <row r="25">
      <c r="L25" s="20" t="n"/>
    </row>
    <row r="26">
      <c r="L26" s="20" t="n"/>
    </row>
    <row r="27">
      <c r="L27" s="20" t="n"/>
    </row>
    <row r="28">
      <c r="L28" s="20" t="n"/>
    </row>
    <row r="29">
      <c r="L29" s="20" t="n"/>
    </row>
    <row r="30">
      <c r="L30" s="20" t="n"/>
    </row>
    <row r="31">
      <c r="L31" s="20" t="n"/>
    </row>
    <row r="32">
      <c r="L32" s="20" t="n"/>
    </row>
    <row r="33">
      <c r="L33" s="20" t="n"/>
    </row>
    <row r="34">
      <c r="L34" s="20" t="n"/>
    </row>
    <row r="35">
      <c r="L35" s="20" t="n"/>
    </row>
    <row r="36">
      <c r="L36" s="20" t="n"/>
    </row>
    <row r="37">
      <c r="L37" s="20" t="n"/>
    </row>
    <row r="38">
      <c r="L38" s="20" t="n"/>
    </row>
    <row r="39">
      <c r="L39" s="20" t="n"/>
    </row>
    <row r="40">
      <c r="L40" s="20" t="n"/>
    </row>
    <row r="41">
      <c r="L41" s="20" t="n"/>
    </row>
    <row r="42">
      <c r="L42" s="20" t="n"/>
    </row>
    <row r="43">
      <c r="L43" s="20" t="n"/>
    </row>
    <row r="44">
      <c r="L44" s="20" t="n"/>
    </row>
    <row r="45">
      <c r="L45" s="20" t="n"/>
    </row>
    <row r="46">
      <c r="L46" s="20" t="n"/>
    </row>
    <row r="47">
      <c r="L47" s="20" t="n"/>
    </row>
    <row r="48">
      <c r="L48" s="20" t="n"/>
    </row>
    <row r="49">
      <c r="L49" s="20" t="n"/>
    </row>
    <row r="50">
      <c r="L50" s="20" t="n"/>
    </row>
    <row r="51">
      <c r="L51" s="20" t="n"/>
    </row>
    <row r="52">
      <c r="L52" s="20" t="n"/>
    </row>
    <row r="53">
      <c r="L53" s="20" t="n"/>
    </row>
    <row r="54">
      <c r="L54" s="20" t="n"/>
    </row>
    <row r="55">
      <c r="L55" s="20" t="n"/>
    </row>
    <row r="56">
      <c r="L56" s="20" t="n"/>
    </row>
    <row r="57">
      <c r="L57" s="20" t="n"/>
    </row>
    <row r="58">
      <c r="L58" s="20" t="n"/>
    </row>
    <row r="59">
      <c r="L59" s="20" t="n"/>
    </row>
    <row r="60">
      <c r="L60" s="20" t="n"/>
    </row>
    <row r="61">
      <c r="L61" s="20" t="n"/>
    </row>
    <row r="62">
      <c r="L62" s="20" t="n"/>
    </row>
    <row r="63">
      <c r="L63" s="20" t="n"/>
    </row>
    <row r="64">
      <c r="L64" s="20" t="n"/>
    </row>
    <row r="65">
      <c r="L65" s="20" t="n"/>
    </row>
    <row r="66">
      <c r="L66" s="20" t="n"/>
    </row>
    <row r="67">
      <c r="L67" s="20" t="n"/>
    </row>
    <row r="68">
      <c r="L68" s="20" t="n"/>
    </row>
    <row r="69">
      <c r="L69" s="20" t="n"/>
    </row>
    <row r="70">
      <c r="L70" s="20" t="n"/>
    </row>
    <row r="71">
      <c r="L71" s="20" t="n"/>
    </row>
    <row r="72">
      <c r="L72" s="20" t="n"/>
    </row>
    <row r="73">
      <c r="L73" s="20" t="n"/>
    </row>
    <row r="74">
      <c r="L74" s="20" t="n"/>
    </row>
    <row r="75">
      <c r="L75" s="20" t="n"/>
    </row>
    <row r="76">
      <c r="L76" s="20" t="n"/>
    </row>
    <row r="77">
      <c r="L77" s="20" t="n"/>
    </row>
    <row r="78">
      <c r="L78" s="20" t="n"/>
    </row>
    <row r="79">
      <c r="L79" s="20" t="n"/>
    </row>
    <row r="80">
      <c r="L80" s="20" t="n"/>
    </row>
    <row r="81">
      <c r="L81" s="20" t="n"/>
    </row>
    <row r="82">
      <c r="L82" s="20" t="n"/>
    </row>
    <row r="83">
      <c r="L83" s="20" t="n"/>
    </row>
    <row r="84">
      <c r="L84" s="20" t="n"/>
    </row>
    <row r="85">
      <c r="L85" s="20" t="n"/>
    </row>
    <row r="86">
      <c r="L86" s="20" t="n"/>
    </row>
    <row r="87">
      <c r="L87" s="20" t="n"/>
    </row>
    <row r="88">
      <c r="L88" s="20" t="n"/>
    </row>
    <row r="89">
      <c r="L89" s="20" t="n"/>
    </row>
    <row r="90">
      <c r="L90" s="20" t="n"/>
    </row>
    <row r="91">
      <c r="L91" s="20" t="n"/>
    </row>
    <row r="92">
      <c r="L92" s="20" t="n"/>
    </row>
    <row r="93">
      <c r="L93" s="20" t="n"/>
    </row>
    <row r="94">
      <c r="L94" s="20" t="n"/>
    </row>
    <row r="95">
      <c r="L95" s="20" t="n"/>
    </row>
    <row r="96">
      <c r="L96" s="20" t="n"/>
    </row>
    <row r="97">
      <c r="L97" s="20" t="n"/>
    </row>
    <row r="98">
      <c r="L98" s="20" t="n"/>
    </row>
    <row r="99">
      <c r="L99" s="20" t="n"/>
    </row>
    <row r="100">
      <c r="L100" s="20" t="n"/>
    </row>
    <row r="101">
      <c r="L101" s="20" t="n"/>
    </row>
    <row r="102">
      <c r="L102" s="20" t="n"/>
    </row>
    <row r="103">
      <c r="L103" s="20" t="n"/>
    </row>
    <row r="104">
      <c r="L104" s="20" t="n"/>
    </row>
    <row r="105">
      <c r="L105" s="20" t="n"/>
    </row>
    <row r="106">
      <c r="L106" s="20" t="n"/>
    </row>
    <row r="107">
      <c r="L107" s="20" t="n"/>
    </row>
    <row r="108">
      <c r="L108" s="20" t="n"/>
    </row>
    <row r="109">
      <c r="L109" s="20" t="n"/>
    </row>
    <row r="110">
      <c r="L110" s="20" t="n"/>
    </row>
    <row r="111">
      <c r="L111" s="20" t="n"/>
    </row>
    <row r="112">
      <c r="L112" s="20" t="n"/>
    </row>
    <row r="113">
      <c r="L113" s="20" t="n"/>
    </row>
    <row r="114">
      <c r="L114" s="20" t="n"/>
    </row>
    <row r="115">
      <c r="L115" s="20" t="n"/>
    </row>
    <row r="116">
      <c r="L116" s="20" t="n"/>
    </row>
    <row r="117">
      <c r="L117" s="20" t="n"/>
    </row>
    <row r="118">
      <c r="L118" s="20" t="n"/>
    </row>
    <row r="119">
      <c r="L119" s="20" t="n"/>
    </row>
    <row r="120">
      <c r="L120" s="20" t="n"/>
    </row>
    <row r="121">
      <c r="L121" s="20" t="n"/>
    </row>
    <row r="122">
      <c r="L122" s="20" t="n"/>
    </row>
    <row r="123">
      <c r="L123" s="20" t="n"/>
    </row>
    <row r="124">
      <c r="L124" s="20" t="n"/>
    </row>
    <row r="125">
      <c r="L125" s="20" t="n"/>
    </row>
    <row r="126">
      <c r="L126" s="20" t="n"/>
    </row>
    <row r="127">
      <c r="L127" s="20" t="n"/>
    </row>
    <row r="128">
      <c r="L128" s="20" t="n"/>
    </row>
    <row r="129">
      <c r="L129" s="20" t="n"/>
    </row>
    <row r="130">
      <c r="L130" s="20" t="n"/>
    </row>
    <row r="131">
      <c r="L131" s="20" t="n"/>
    </row>
    <row r="132">
      <c r="L132" s="20" t="n"/>
    </row>
    <row r="133">
      <c r="L133" s="20" t="n"/>
    </row>
    <row r="134">
      <c r="L134" s="20" t="n"/>
    </row>
    <row r="135">
      <c r="L135" s="20" t="n"/>
    </row>
    <row r="136">
      <c r="L136" s="20" t="n"/>
    </row>
    <row r="137">
      <c r="L137" s="20" t="n"/>
    </row>
    <row r="138">
      <c r="L138" s="20" t="n"/>
    </row>
    <row r="139">
      <c r="L139" s="20" t="n"/>
    </row>
    <row r="140">
      <c r="L140" s="20" t="n"/>
    </row>
    <row r="141">
      <c r="L141" s="20" t="n"/>
    </row>
    <row r="142">
      <c r="L142" s="20" t="n"/>
    </row>
    <row r="143">
      <c r="L143" s="20" t="n"/>
    </row>
    <row r="144">
      <c r="L144" s="20" t="n"/>
    </row>
    <row r="145">
      <c r="L145" s="20" t="n"/>
    </row>
    <row r="146">
      <c r="L146" s="20" t="n"/>
    </row>
    <row r="147">
      <c r="L147" s="20" t="n"/>
    </row>
    <row r="148">
      <c r="L148" s="20" t="n"/>
    </row>
    <row r="149">
      <c r="L149" s="20" t="n"/>
    </row>
    <row r="150">
      <c r="L150" s="20" t="n"/>
    </row>
    <row r="151">
      <c r="L151" s="20" t="n"/>
    </row>
    <row r="152">
      <c r="L152" s="20" t="n"/>
    </row>
    <row r="153">
      <c r="L153" s="20" t="n"/>
    </row>
    <row r="154">
      <c r="L154" s="20" t="n"/>
    </row>
    <row r="155">
      <c r="L155" s="20" t="n"/>
    </row>
    <row r="156">
      <c r="L156" s="20" t="n"/>
    </row>
    <row r="157">
      <c r="L157" s="20" t="n"/>
    </row>
    <row r="158">
      <c r="L158" s="20" t="n"/>
    </row>
    <row r="159">
      <c r="L159" s="20" t="n"/>
    </row>
    <row r="160">
      <c r="L160" s="20" t="n"/>
    </row>
    <row r="161">
      <c r="L161" s="20" t="n"/>
    </row>
    <row r="162">
      <c r="L162" s="20" t="n"/>
    </row>
    <row r="163">
      <c r="L163" s="20" t="n"/>
    </row>
    <row r="164">
      <c r="L164" s="20" t="n"/>
    </row>
    <row r="165">
      <c r="L165" s="20" t="n"/>
    </row>
    <row r="166">
      <c r="L166" s="20" t="n"/>
    </row>
    <row r="167">
      <c r="L167" s="20" t="n"/>
    </row>
    <row r="168">
      <c r="L168" s="20" t="n"/>
    </row>
    <row r="169">
      <c r="L169" s="20" t="n"/>
    </row>
    <row r="170">
      <c r="L170" s="20" t="n"/>
    </row>
    <row r="171">
      <c r="L171" s="20" t="n"/>
    </row>
    <row r="172">
      <c r="L172" s="20" t="n"/>
    </row>
    <row r="173">
      <c r="L173" s="20" t="n"/>
    </row>
    <row r="174">
      <c r="L174" s="20" t="n"/>
    </row>
    <row r="175">
      <c r="L175" s="20" t="n"/>
    </row>
    <row r="176">
      <c r="L176" s="20" t="n"/>
    </row>
    <row r="177">
      <c r="L177" s="20" t="n"/>
    </row>
    <row r="178">
      <c r="L178" s="20" t="n"/>
    </row>
    <row r="179">
      <c r="L179" s="20" t="n"/>
    </row>
    <row r="180">
      <c r="L180" s="20" t="n"/>
    </row>
    <row r="181">
      <c r="L181" s="20" t="n"/>
    </row>
    <row r="182">
      <c r="L182" s="20" t="n"/>
    </row>
    <row r="183">
      <c r="L183" s="20" t="n"/>
    </row>
    <row r="184">
      <c r="L184" s="20" t="n"/>
    </row>
    <row r="185">
      <c r="L185" s="20" t="n"/>
    </row>
    <row r="186">
      <c r="L186" s="20" t="n"/>
    </row>
    <row r="187">
      <c r="L187" s="20" t="n"/>
    </row>
    <row r="188">
      <c r="L188" s="20" t="n"/>
    </row>
    <row r="189">
      <c r="L189" s="20" t="n"/>
    </row>
    <row r="190">
      <c r="L190" s="20" t="n"/>
    </row>
    <row r="191">
      <c r="L191" s="20" t="n"/>
    </row>
    <row r="192">
      <c r="L192" s="20" t="n"/>
    </row>
    <row r="193">
      <c r="L193" s="20" t="n"/>
    </row>
    <row r="194">
      <c r="L194" s="20" t="n"/>
    </row>
    <row r="195">
      <c r="L195" s="20" t="n"/>
    </row>
    <row r="196">
      <c r="L196" s="20" t="n"/>
    </row>
    <row r="197">
      <c r="L197" s="20" t="n"/>
    </row>
    <row r="198">
      <c r="L198" s="20" t="n"/>
    </row>
    <row r="199">
      <c r="L199" s="20" t="n"/>
    </row>
    <row r="200">
      <c r="L200" s="20" t="n"/>
    </row>
    <row r="201">
      <c r="L201" s="20" t="n"/>
    </row>
    <row r="202">
      <c r="L202" s="20" t="n"/>
    </row>
    <row r="203">
      <c r="L203" s="20" t="n"/>
    </row>
    <row r="204">
      <c r="L204" s="20" t="n"/>
    </row>
    <row r="205">
      <c r="L205" s="20" t="n"/>
    </row>
    <row r="206">
      <c r="L206" s="20" t="n"/>
    </row>
    <row r="207">
      <c r="L207" s="20" t="n"/>
    </row>
    <row r="208">
      <c r="L208" s="20" t="n"/>
    </row>
    <row r="209">
      <c r="L209" s="20" t="n"/>
    </row>
    <row r="210">
      <c r="L210" s="20" t="n"/>
    </row>
    <row r="211">
      <c r="L211" s="20" t="n"/>
    </row>
    <row r="212">
      <c r="L212" s="20" t="n"/>
    </row>
    <row r="213">
      <c r="L213" s="20" t="n"/>
    </row>
    <row r="214">
      <c r="L214" s="20" t="n"/>
    </row>
    <row r="215">
      <c r="L215" s="20" t="n"/>
    </row>
    <row r="216">
      <c r="L216" s="20" t="n"/>
    </row>
    <row r="217">
      <c r="L217" s="20" t="n"/>
    </row>
    <row r="218">
      <c r="L218" s="20" t="n"/>
    </row>
    <row r="219">
      <c r="L219" s="20" t="n"/>
    </row>
    <row r="220">
      <c r="L220" s="20" t="n"/>
    </row>
    <row r="221">
      <c r="L221" s="20" t="n"/>
    </row>
    <row r="222">
      <c r="L222" s="20" t="n"/>
    </row>
    <row r="223">
      <c r="L223" s="20" t="n"/>
    </row>
    <row r="224">
      <c r="L224" s="20" t="n"/>
    </row>
    <row r="225">
      <c r="L225" s="20" t="n"/>
    </row>
    <row r="226">
      <c r="L226" s="20" t="n"/>
    </row>
    <row r="227">
      <c r="L227" s="20" t="n"/>
    </row>
    <row r="228">
      <c r="L228" s="20" t="n"/>
    </row>
    <row r="229">
      <c r="L229" s="20" t="n"/>
    </row>
    <row r="230">
      <c r="L230" s="20" t="n"/>
    </row>
    <row r="231">
      <c r="L231" s="20" t="n"/>
    </row>
    <row r="232">
      <c r="L232" s="20" t="n"/>
    </row>
    <row r="233">
      <c r="L233" s="20" t="n"/>
    </row>
    <row r="234">
      <c r="L234" s="20" t="n"/>
    </row>
    <row r="235">
      <c r="L235" s="20" t="n"/>
    </row>
    <row r="236">
      <c r="L236" s="20" t="n"/>
    </row>
    <row r="237">
      <c r="L237" s="20" t="n"/>
    </row>
    <row r="238">
      <c r="L238" s="20" t="n"/>
    </row>
    <row r="239">
      <c r="L239" s="20" t="n"/>
    </row>
    <row r="240">
      <c r="L240" s="20" t="n"/>
    </row>
    <row r="241">
      <c r="L241" s="20" t="n"/>
    </row>
    <row r="242">
      <c r="L242" s="20" t="n"/>
    </row>
    <row r="243">
      <c r="L243" s="20" t="n"/>
    </row>
    <row r="244">
      <c r="L244" s="20" t="n"/>
    </row>
    <row r="245">
      <c r="L245" s="20" t="n"/>
    </row>
    <row r="246">
      <c r="L246" s="20" t="n"/>
    </row>
    <row r="247">
      <c r="L247" s="20" t="n"/>
    </row>
    <row r="248">
      <c r="L248" s="20" t="n"/>
    </row>
    <row r="249">
      <c r="L249" s="20" t="n"/>
    </row>
    <row r="250">
      <c r="L250" s="20" t="n"/>
    </row>
    <row r="251">
      <c r="L251" s="20" t="n"/>
    </row>
    <row r="252">
      <c r="L252" s="20" t="n"/>
    </row>
    <row r="253">
      <c r="L253" s="20" t="n"/>
    </row>
    <row r="254">
      <c r="L254" s="20" t="n"/>
    </row>
    <row r="255">
      <c r="L255" s="20" t="n"/>
    </row>
    <row r="256">
      <c r="L256" s="20" t="n"/>
    </row>
    <row r="257">
      <c r="L257" s="20" t="n"/>
    </row>
    <row r="258">
      <c r="L258" s="20" t="n"/>
    </row>
    <row r="259">
      <c r="L259" s="20" t="n"/>
    </row>
    <row r="260">
      <c r="L260" s="20" t="n"/>
    </row>
    <row r="261">
      <c r="L261" s="20" t="n"/>
    </row>
    <row r="262">
      <c r="L262" s="20" t="n"/>
    </row>
    <row r="263">
      <c r="L263" s="20" t="n"/>
    </row>
    <row r="264">
      <c r="L264" s="20" t="n"/>
    </row>
    <row r="265">
      <c r="L265" s="20" t="n"/>
    </row>
    <row r="266">
      <c r="L266" s="20" t="n"/>
    </row>
    <row r="267">
      <c r="L267" s="20" t="n"/>
    </row>
    <row r="268">
      <c r="L268" s="20" t="n"/>
    </row>
    <row r="269">
      <c r="L269" s="20" t="n"/>
    </row>
    <row r="270">
      <c r="L270" s="20" t="n"/>
    </row>
    <row r="271">
      <c r="L271" s="20" t="n"/>
    </row>
    <row r="272">
      <c r="L272" s="20" t="n"/>
    </row>
    <row r="273">
      <c r="L273" s="20" t="n"/>
    </row>
    <row r="274">
      <c r="L274" s="20" t="n"/>
    </row>
    <row r="275">
      <c r="L275" s="20" t="n"/>
    </row>
    <row r="276">
      <c r="L276" s="20" t="n"/>
    </row>
    <row r="277">
      <c r="L277" s="20" t="n"/>
    </row>
    <row r="278">
      <c r="L278" s="20" t="n"/>
    </row>
    <row r="279">
      <c r="L279" s="20" t="n"/>
    </row>
    <row r="280">
      <c r="L280" s="20" t="n"/>
    </row>
    <row r="281">
      <c r="L281" s="20" t="n"/>
    </row>
    <row r="282">
      <c r="L282" s="20" t="n"/>
    </row>
    <row r="283">
      <c r="L283" s="20" t="n"/>
    </row>
    <row r="284">
      <c r="L284" s="20" t="n"/>
    </row>
    <row r="285">
      <c r="L285" s="20" t="n"/>
    </row>
    <row r="286">
      <c r="L286" s="20" t="n"/>
    </row>
    <row r="287">
      <c r="L287" s="20" t="n"/>
    </row>
    <row r="288">
      <c r="L288" s="20" t="n"/>
    </row>
    <row r="289">
      <c r="L289" s="20" t="n"/>
    </row>
    <row r="290">
      <c r="L290" s="20" t="n"/>
    </row>
    <row r="291">
      <c r="L291" s="20" t="n"/>
    </row>
    <row r="292">
      <c r="L292" s="20" t="n"/>
    </row>
    <row r="293">
      <c r="L293" s="20" t="n"/>
    </row>
    <row r="294">
      <c r="L294" s="20" t="n"/>
    </row>
    <row r="295">
      <c r="L295" s="20" t="n"/>
    </row>
    <row r="296">
      <c r="L296" s="20" t="n"/>
    </row>
    <row r="297">
      <c r="L297" s="20" t="n"/>
    </row>
    <row r="298">
      <c r="L298" s="20" t="n"/>
    </row>
    <row r="299">
      <c r="L299" s="20" t="n"/>
    </row>
    <row r="300">
      <c r="L300" s="20" t="n"/>
    </row>
    <row r="301">
      <c r="L301" s="20" t="n"/>
    </row>
    <row r="302">
      <c r="L302" s="20" t="n"/>
    </row>
    <row r="303">
      <c r="L303" s="20" t="n"/>
    </row>
    <row r="304">
      <c r="L304" s="20" t="n"/>
    </row>
    <row r="305">
      <c r="L305" s="20" t="n"/>
    </row>
    <row r="306">
      <c r="L306" s="20" t="n"/>
    </row>
    <row r="307">
      <c r="L307" s="20" t="n"/>
    </row>
    <row r="308">
      <c r="L308" s="20" t="n"/>
    </row>
    <row r="309">
      <c r="L309" s="20" t="n"/>
    </row>
    <row r="310">
      <c r="L310" s="20" t="n"/>
    </row>
    <row r="311">
      <c r="L311" s="20" t="n"/>
    </row>
    <row r="312">
      <c r="L312" s="20" t="n"/>
    </row>
    <row r="313">
      <c r="L313" s="20" t="n"/>
    </row>
    <row r="314">
      <c r="L314" s="20" t="n"/>
    </row>
    <row r="315">
      <c r="L315" s="20" t="n"/>
    </row>
    <row r="316">
      <c r="L316" s="20" t="n"/>
    </row>
    <row r="317">
      <c r="L317" s="20" t="n"/>
    </row>
    <row r="318">
      <c r="L318" s="20" t="n"/>
    </row>
    <row r="319">
      <c r="L319" s="20" t="n"/>
    </row>
    <row r="320">
      <c r="L320" s="20" t="n"/>
    </row>
    <row r="321">
      <c r="L321" s="20" t="n"/>
    </row>
    <row r="322">
      <c r="L322" s="20" t="n"/>
    </row>
    <row r="323">
      <c r="L323" s="20" t="n"/>
    </row>
    <row r="324">
      <c r="L324" s="20" t="n"/>
    </row>
    <row r="325">
      <c r="L325" s="20" t="n"/>
    </row>
    <row r="326">
      <c r="L326" s="20" t="n"/>
    </row>
    <row r="327">
      <c r="L327" s="20" t="n"/>
    </row>
    <row r="328">
      <c r="L328" s="20" t="n"/>
    </row>
    <row r="329">
      <c r="L329" s="20" t="n"/>
    </row>
    <row r="330">
      <c r="L330" s="20" t="n"/>
    </row>
    <row r="331">
      <c r="L331" s="20" t="n"/>
    </row>
    <row r="332">
      <c r="L332" s="20" t="n"/>
    </row>
    <row r="333">
      <c r="L333" s="20" t="n"/>
    </row>
    <row r="334">
      <c r="L334" s="20" t="n"/>
    </row>
    <row r="335">
      <c r="L335" s="20" t="n"/>
    </row>
    <row r="336">
      <c r="L336" s="20" t="n"/>
    </row>
    <row r="337">
      <c r="L337" s="20" t="n"/>
    </row>
    <row r="338">
      <c r="L338" s="20" t="n"/>
    </row>
    <row r="339">
      <c r="L339" s="20" t="n"/>
    </row>
    <row r="340">
      <c r="L340" s="20" t="n"/>
    </row>
    <row r="341">
      <c r="L341" s="20" t="n"/>
    </row>
    <row r="342">
      <c r="L342" s="20" t="n"/>
    </row>
    <row r="343">
      <c r="L343" s="20" t="n"/>
    </row>
    <row r="344">
      <c r="L344" s="20" t="n"/>
    </row>
    <row r="345">
      <c r="L345" s="20" t="n"/>
    </row>
    <row r="346">
      <c r="L346" s="20" t="n"/>
    </row>
    <row r="347">
      <c r="L347" s="20" t="n"/>
    </row>
    <row r="348">
      <c r="L348" s="20" t="n"/>
    </row>
    <row r="349">
      <c r="L349" s="20" t="n"/>
    </row>
    <row r="350">
      <c r="L350" s="20" t="n"/>
    </row>
    <row r="351">
      <c r="L351" s="20" t="n"/>
    </row>
    <row r="352">
      <c r="L352" s="20" t="n"/>
    </row>
    <row r="353">
      <c r="L353" s="20" t="n"/>
    </row>
    <row r="354">
      <c r="L354" s="20" t="n"/>
    </row>
    <row r="355">
      <c r="L355" s="20" t="n"/>
    </row>
    <row r="356">
      <c r="L356" s="20" t="n"/>
    </row>
    <row r="357">
      <c r="L357" s="20" t="n"/>
    </row>
    <row r="358">
      <c r="L358" s="20" t="n"/>
    </row>
    <row r="359">
      <c r="L359" s="20" t="n"/>
    </row>
    <row r="360">
      <c r="L360" s="20" t="n"/>
    </row>
    <row r="361">
      <c r="L361" s="20" t="n"/>
    </row>
    <row r="362">
      <c r="L362" s="20" t="n"/>
    </row>
    <row r="363">
      <c r="L363" s="20" t="n"/>
    </row>
    <row r="364">
      <c r="L364" s="20" t="n"/>
    </row>
    <row r="365">
      <c r="L365" s="20" t="n"/>
    </row>
    <row r="366">
      <c r="L366" s="20" t="n"/>
    </row>
    <row r="367">
      <c r="L367" s="20" t="n"/>
    </row>
    <row r="368">
      <c r="L368" s="20" t="n"/>
    </row>
    <row r="369">
      <c r="L369" s="20" t="n"/>
    </row>
    <row r="370">
      <c r="L370" s="20" t="n"/>
    </row>
    <row r="371">
      <c r="L371" s="20" t="n"/>
    </row>
    <row r="372">
      <c r="L372" s="20" t="n"/>
    </row>
    <row r="373">
      <c r="L373" s="20" t="n"/>
    </row>
    <row r="374">
      <c r="L374" s="20" t="n"/>
    </row>
    <row r="375">
      <c r="L375" s="20" t="n"/>
    </row>
    <row r="376">
      <c r="L376" s="20" t="n"/>
    </row>
    <row r="377">
      <c r="L377" s="20" t="n"/>
    </row>
    <row r="378">
      <c r="L378" s="20" t="n"/>
    </row>
    <row r="379">
      <c r="L379" s="20" t="n"/>
    </row>
    <row r="380">
      <c r="L380" s="20" t="n"/>
    </row>
    <row r="381">
      <c r="L381" s="20" t="n"/>
    </row>
    <row r="382">
      <c r="L382" s="20" t="n"/>
    </row>
    <row r="383">
      <c r="L383" s="20" t="n"/>
    </row>
    <row r="384">
      <c r="L384" s="20" t="n"/>
    </row>
    <row r="385">
      <c r="L385" s="20" t="n"/>
    </row>
    <row r="386">
      <c r="L386" s="20" t="n"/>
    </row>
    <row r="387">
      <c r="L387" s="20" t="n"/>
    </row>
    <row r="388">
      <c r="L388" s="20" t="n"/>
    </row>
    <row r="389">
      <c r="L389" s="20" t="n"/>
    </row>
    <row r="390">
      <c r="L390" s="20" t="n"/>
    </row>
    <row r="391">
      <c r="L391" s="20" t="n"/>
    </row>
    <row r="392">
      <c r="L392" s="20" t="n"/>
    </row>
    <row r="393">
      <c r="L393" s="20" t="n"/>
    </row>
    <row r="394">
      <c r="L394" s="20" t="n"/>
    </row>
    <row r="395">
      <c r="L395" s="20" t="n"/>
    </row>
    <row r="396">
      <c r="L396" s="20" t="n"/>
    </row>
    <row r="397">
      <c r="L397" s="20" t="n"/>
    </row>
    <row r="398">
      <c r="L398" s="20" t="n"/>
    </row>
    <row r="399">
      <c r="L399" s="20" t="n"/>
    </row>
    <row r="400">
      <c r="L400" s="20" t="n"/>
    </row>
    <row r="401">
      <c r="L401" s="20" t="n"/>
    </row>
    <row r="402">
      <c r="L402" s="20" t="n"/>
    </row>
    <row r="403">
      <c r="L403" s="20" t="n"/>
    </row>
    <row r="404">
      <c r="L404" s="20" t="n"/>
    </row>
    <row r="405">
      <c r="L405" s="20" t="n"/>
    </row>
    <row r="406">
      <c r="L406" s="20" t="n"/>
    </row>
    <row r="407">
      <c r="L407" s="20" t="n"/>
    </row>
    <row r="408">
      <c r="L408" s="20" t="n"/>
    </row>
    <row r="409">
      <c r="L409" s="20" t="n"/>
    </row>
    <row r="410">
      <c r="L410" s="20" t="n"/>
    </row>
    <row r="411">
      <c r="L411" s="20" t="n"/>
    </row>
    <row r="412">
      <c r="L412" s="20" t="n"/>
    </row>
    <row r="413">
      <c r="L413" s="20" t="n"/>
    </row>
    <row r="414">
      <c r="L414" s="20" t="n"/>
    </row>
    <row r="415">
      <c r="L415" s="20" t="n"/>
    </row>
    <row r="416">
      <c r="L416" s="20" t="n"/>
    </row>
    <row r="417">
      <c r="L417" s="20" t="n"/>
    </row>
    <row r="418">
      <c r="L418" s="20" t="n"/>
    </row>
    <row r="419">
      <c r="L419" s="20" t="n"/>
    </row>
    <row r="420">
      <c r="L420" s="20" t="n"/>
    </row>
    <row r="421">
      <c r="L421" s="20" t="n"/>
    </row>
    <row r="422">
      <c r="L422" s="20" t="n"/>
    </row>
    <row r="423">
      <c r="L423" s="20" t="n"/>
    </row>
    <row r="424">
      <c r="L424" s="20" t="n"/>
    </row>
    <row r="425">
      <c r="L425" s="20" t="n"/>
    </row>
    <row r="426">
      <c r="L426" s="20" t="n"/>
    </row>
    <row r="427">
      <c r="L427" s="20" t="n"/>
    </row>
    <row r="428">
      <c r="L428" s="20" t="n"/>
    </row>
    <row r="429">
      <c r="L429" s="20" t="n"/>
    </row>
    <row r="430">
      <c r="L430" s="20" t="n"/>
    </row>
    <row r="431">
      <c r="L431" s="20" t="n"/>
    </row>
    <row r="432">
      <c r="L432" s="20" t="n"/>
    </row>
    <row r="433">
      <c r="L433" s="20" t="n"/>
    </row>
    <row r="434">
      <c r="L434" s="20" t="n"/>
    </row>
    <row r="435">
      <c r="L435" s="20" t="n"/>
    </row>
    <row r="436">
      <c r="L436" s="20" t="n"/>
    </row>
    <row r="437">
      <c r="L437" s="20" t="n"/>
    </row>
    <row r="438">
      <c r="L438" s="20" t="n"/>
    </row>
    <row r="439">
      <c r="L439" s="20" t="n"/>
    </row>
    <row r="440">
      <c r="L440" s="20" t="n"/>
    </row>
    <row r="441">
      <c r="L441" s="20" t="n"/>
    </row>
    <row r="442">
      <c r="L442" s="20" t="n"/>
    </row>
    <row r="443">
      <c r="L443" s="20" t="n"/>
    </row>
    <row r="444">
      <c r="L444" s="20" t="n"/>
    </row>
    <row r="445">
      <c r="L445" s="20" t="n"/>
    </row>
    <row r="446">
      <c r="L446" s="20" t="n"/>
    </row>
    <row r="447">
      <c r="L447" s="20" t="n"/>
    </row>
    <row r="448">
      <c r="L448" s="20" t="n"/>
    </row>
    <row r="449">
      <c r="L449" s="20" t="n"/>
    </row>
    <row r="450">
      <c r="L450" s="20" t="n"/>
    </row>
    <row r="451">
      <c r="L451" s="20" t="n"/>
    </row>
    <row r="452">
      <c r="L452" s="20" t="n"/>
    </row>
    <row r="453">
      <c r="L453" s="20" t="n"/>
    </row>
    <row r="454">
      <c r="L454" s="20" t="n"/>
    </row>
    <row r="455">
      <c r="L455" s="20" t="n"/>
    </row>
    <row r="456">
      <c r="L456" s="20" t="n"/>
    </row>
    <row r="457">
      <c r="L457" s="20" t="n"/>
    </row>
    <row r="458">
      <c r="L458" s="20" t="n"/>
    </row>
    <row r="459">
      <c r="L459" s="20" t="n"/>
    </row>
    <row r="460">
      <c r="L460" s="20" t="n"/>
    </row>
    <row r="461">
      <c r="L461" s="20" t="n"/>
    </row>
    <row r="462">
      <c r="L462" s="20" t="n"/>
    </row>
    <row r="463">
      <c r="L463" s="20" t="n"/>
    </row>
    <row r="464">
      <c r="L464" s="20" t="n"/>
    </row>
    <row r="465">
      <c r="L465" s="20" t="n"/>
    </row>
    <row r="466">
      <c r="L466" s="20" t="n"/>
    </row>
    <row r="467">
      <c r="L467" s="20" t="n"/>
    </row>
    <row r="468">
      <c r="L468" s="20" t="n"/>
    </row>
    <row r="469">
      <c r="L469" s="20" t="n"/>
    </row>
    <row r="470">
      <c r="L470" s="20" t="n"/>
    </row>
    <row r="471">
      <c r="L471" s="20" t="n"/>
    </row>
    <row r="472">
      <c r="L472" s="20" t="n"/>
    </row>
    <row r="473">
      <c r="L473" s="20" t="n"/>
    </row>
    <row r="474">
      <c r="L474" s="20" t="n"/>
    </row>
    <row r="475">
      <c r="L475" s="20" t="n"/>
    </row>
    <row r="476">
      <c r="L476" s="20" t="n"/>
    </row>
    <row r="477">
      <c r="L477" s="20" t="n"/>
    </row>
    <row r="478">
      <c r="L478" s="20" t="n"/>
    </row>
    <row r="479">
      <c r="L479" s="20" t="n"/>
    </row>
    <row r="480">
      <c r="L480" s="20" t="n"/>
    </row>
    <row r="481">
      <c r="L481" s="20" t="n"/>
    </row>
    <row r="482">
      <c r="L482" s="20" t="n"/>
    </row>
    <row r="483">
      <c r="L483" s="20" t="n"/>
    </row>
    <row r="484">
      <c r="L484" s="20" t="n"/>
    </row>
    <row r="485">
      <c r="L485" s="20" t="n"/>
    </row>
    <row r="486">
      <c r="L486" s="20" t="n"/>
    </row>
    <row r="487">
      <c r="L487" s="20" t="n"/>
    </row>
    <row r="488">
      <c r="L488" s="20" t="n"/>
    </row>
    <row r="489">
      <c r="L489" s="20" t="n"/>
    </row>
    <row r="490">
      <c r="L490" s="20" t="n"/>
    </row>
    <row r="491">
      <c r="L491" s="20" t="n"/>
    </row>
    <row r="492">
      <c r="L492" s="20" t="n"/>
    </row>
    <row r="493">
      <c r="L493" s="20" t="n"/>
    </row>
    <row r="494">
      <c r="L494" s="20" t="n"/>
    </row>
    <row r="495">
      <c r="L495" s="20" t="n"/>
    </row>
    <row r="496">
      <c r="L496" s="20" t="n"/>
    </row>
    <row r="497">
      <c r="L497" s="20" t="n"/>
    </row>
    <row r="498">
      <c r="L498" s="20" t="n"/>
    </row>
    <row r="499">
      <c r="L499" s="20" t="n"/>
    </row>
    <row r="500">
      <c r="L500" s="20" t="n"/>
    </row>
  </sheetData>
  <autoFilter ref="A4:N500"/>
  <mergeCells count="1">
    <mergeCell ref="A2:N2"/>
  </mergeCells>
  <conditionalFormatting sqref="H5:H500">
    <cfRule type="expression" priority="1" dxfId="0">
      <formula>$H5="Öneri"</formula>
    </cfRule>
    <cfRule type="expression" priority="2" dxfId="1">
      <formula>$H5="Açık"</formula>
    </cfRule>
    <cfRule type="expression" priority="3" dxfId="2">
      <formula>$H5="Devam ediyor"</formula>
    </cfRule>
    <cfRule type="expression" priority="4" dxfId="3">
      <formula>$H5="Test"</formula>
    </cfRule>
    <cfRule type="expression" priority="5" dxfId="4">
      <formula>$H5="Tamamlandı"</formula>
    </cfRule>
    <cfRule type="expression" priority="6" dxfId="5">
      <formula>$H5="İptal"</formula>
    </cfRule>
  </conditionalFormatting>
  <dataValidations count="6">
    <dataValidation sqref="H5:H500" showDropDown="0" showInputMessage="0" showErrorMessage="0" allowBlank="1" type="list">
      <formula1>"Öneri,Açık,Devam ediyor,Test,Tamamlandı,İptal"</formula1>
    </dataValidation>
    <dataValidation sqref="F5:F500" showDropDown="0" showInputMessage="0" showErrorMessage="0" allowBlank="1" type="list">
      <formula1>"Yüksek,Orta,Düşük"</formula1>
    </dataValidation>
    <dataValidation sqref="G5:G500" showDropDown="0" showInputMessage="0" showErrorMessage="0" allowBlank="1" type="list">
      <formula1>"Faz 1,Faz 2"</formula1>
    </dataValidation>
    <dataValidation sqref="B5:B500" showDropDown="0" showInputMessage="0" showErrorMessage="0" allowBlank="1" type="list">
      <formula1>"1 - Teknik: Veri Doğruluğu,2 - Arayüz: Kullanılabilirlik &amp; Profesyonel Görünüm,3 - Genel / Diğer"</formula1>
    </dataValidation>
    <dataValidation sqref="L5:L500" showDropDown="0" showInputMessage="0" showErrorMessage="0" allowBlank="1" errorTitle="Tarih" error="Tarih girin (GG.AA.YYYY)" type="date" operator="greaterThan">
      <formula1>DATE(2026,1,1)</formula1>
    </dataValidation>
    <dataValidation sqref="M5:M500" showDropDown="0" showInputMessage="0" showErrorMessage="0" allowBlank="1" errorTitle="Tarih" error="Tarih girin (GG.AA.YYYY)" type="date" operator="greaterThan">
      <formula1>DATE(2026,1,1)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0" t="inlineStr">
        <is>
          <t>Özet (İş Listesi sayfasından otomatik)</t>
        </is>
      </c>
    </row>
    <row r="3">
      <c r="A3" s="11" t="inlineStr">
        <is>
          <t>Segment</t>
        </is>
      </c>
      <c r="B3" s="11" t="inlineStr">
        <is>
          <t>Öneri</t>
        </is>
      </c>
      <c r="C3" s="11" t="inlineStr">
        <is>
          <t>Açık</t>
        </is>
      </c>
      <c r="D3" s="11" t="inlineStr">
        <is>
          <t>Devam ediyor</t>
        </is>
      </c>
      <c r="E3" s="11" t="inlineStr">
        <is>
          <t>Test</t>
        </is>
      </c>
      <c r="F3" s="11" t="inlineStr">
        <is>
          <t>Tamamlandı</t>
        </is>
      </c>
      <c r="G3" s="11" t="inlineStr">
        <is>
          <t>İptal</t>
        </is>
      </c>
      <c r="H3" s="11" t="inlineStr">
        <is>
          <t>Toplam</t>
        </is>
      </c>
      <c r="I3" s="11" t="inlineStr">
        <is>
          <t>Tamamlanma %</t>
        </is>
      </c>
    </row>
    <row r="4">
      <c r="A4" s="12" t="inlineStr">
        <is>
          <t>1 - Teknik: Veri Doğruluğu</t>
        </is>
      </c>
      <c r="B4" s="13">
        <f>COUNTIFS('İş Listesi'!$B$5:$B$500,$A4,'İş Listesi'!$H$5:$H$500,B$3)</f>
        <v/>
      </c>
      <c r="C4" s="13">
        <f>COUNTIFS('İş Listesi'!$B$5:$B$500,$A4,'İş Listesi'!$H$5:$H$500,C$3)</f>
        <v/>
      </c>
      <c r="D4" s="13">
        <f>COUNTIFS('İş Listesi'!$B$5:$B$500,$A4,'İş Listesi'!$H$5:$H$500,D$3)</f>
        <v/>
      </c>
      <c r="E4" s="13">
        <f>COUNTIFS('İş Listesi'!$B$5:$B$500,$A4,'İş Listesi'!$H$5:$H$500,E$3)</f>
        <v/>
      </c>
      <c r="F4" s="13">
        <f>COUNTIFS('İş Listesi'!$B$5:$B$500,$A4,'İş Listesi'!$H$5:$H$500,F$3)</f>
        <v/>
      </c>
      <c r="G4" s="13">
        <f>COUNTIFS('İş Listesi'!$B$5:$B$500,$A4,'İş Listesi'!$H$5:$H$500,G$3)</f>
        <v/>
      </c>
      <c r="H4" s="13">
        <f>SUM(B4:G4)</f>
        <v/>
      </c>
      <c r="I4" s="14">
        <f>IF(H4-G4=0,0,F4/(H4-G4))</f>
        <v/>
      </c>
    </row>
    <row r="5">
      <c r="A5" s="12" t="inlineStr">
        <is>
          <t>2 - Arayüz: Kullanılabilirlik &amp; Profesyonel Görünüm</t>
        </is>
      </c>
      <c r="B5" s="13">
        <f>COUNTIFS('İş Listesi'!$B$5:$B$500,$A5,'İş Listesi'!$H$5:$H$500,B$3)</f>
        <v/>
      </c>
      <c r="C5" s="13">
        <f>COUNTIFS('İş Listesi'!$B$5:$B$500,$A5,'İş Listesi'!$H$5:$H$500,C$3)</f>
        <v/>
      </c>
      <c r="D5" s="13">
        <f>COUNTIFS('İş Listesi'!$B$5:$B$500,$A5,'İş Listesi'!$H$5:$H$500,D$3)</f>
        <v/>
      </c>
      <c r="E5" s="13">
        <f>COUNTIFS('İş Listesi'!$B$5:$B$500,$A5,'İş Listesi'!$H$5:$H$500,E$3)</f>
        <v/>
      </c>
      <c r="F5" s="13">
        <f>COUNTIFS('İş Listesi'!$B$5:$B$500,$A5,'İş Listesi'!$H$5:$H$500,F$3)</f>
        <v/>
      </c>
      <c r="G5" s="13">
        <f>COUNTIFS('İş Listesi'!$B$5:$B$500,$A5,'İş Listesi'!$H$5:$H$500,G$3)</f>
        <v/>
      </c>
      <c r="H5" s="13">
        <f>SUM(B5:G5)</f>
        <v/>
      </c>
      <c r="I5" s="14">
        <f>IF(H5-G5=0,0,F5/(H5-G5))</f>
        <v/>
      </c>
    </row>
    <row r="6">
      <c r="A6" s="12" t="inlineStr">
        <is>
          <t>3 - Genel / Diğer</t>
        </is>
      </c>
      <c r="B6" s="13">
        <f>COUNTIFS('İş Listesi'!$B$5:$B$500,$A6,'İş Listesi'!$H$5:$H$500,B$3)</f>
        <v/>
      </c>
      <c r="C6" s="13">
        <f>COUNTIFS('İş Listesi'!$B$5:$B$500,$A6,'İş Listesi'!$H$5:$H$500,C$3)</f>
        <v/>
      </c>
      <c r="D6" s="13">
        <f>COUNTIFS('İş Listesi'!$B$5:$B$500,$A6,'İş Listesi'!$H$5:$H$500,D$3)</f>
        <v/>
      </c>
      <c r="E6" s="13">
        <f>COUNTIFS('İş Listesi'!$B$5:$B$500,$A6,'İş Listesi'!$H$5:$H$500,E$3)</f>
        <v/>
      </c>
      <c r="F6" s="13">
        <f>COUNTIFS('İş Listesi'!$B$5:$B$500,$A6,'İş Listesi'!$H$5:$H$500,F$3)</f>
        <v/>
      </c>
      <c r="G6" s="13">
        <f>COUNTIFS('İş Listesi'!$B$5:$B$500,$A6,'İş Listesi'!$H$5:$H$500,G$3)</f>
        <v/>
      </c>
      <c r="H6" s="13">
        <f>SUM(B6:G6)</f>
        <v/>
      </c>
      <c r="I6" s="14">
        <f>IF(H6-G6=0,0,F6/(H6-G6))</f>
        <v/>
      </c>
    </row>
    <row r="7">
      <c r="A7" s="15" t="inlineStr">
        <is>
          <t>Toplam</t>
        </is>
      </c>
      <c r="B7" s="16">
        <f>SUM(B4:B6)</f>
        <v/>
      </c>
      <c r="C7" s="16">
        <f>SUM(C4:C6)</f>
        <v/>
      </c>
      <c r="D7" s="16">
        <f>SUM(D4:D6)</f>
        <v/>
      </c>
      <c r="E7" s="16">
        <f>SUM(E4:E6)</f>
        <v/>
      </c>
      <c r="F7" s="16">
        <f>SUM(F4:F6)</f>
        <v/>
      </c>
      <c r="G7" s="16">
        <f>SUM(G4:G6)</f>
        <v/>
      </c>
      <c r="H7" s="16">
        <f>SUM(H4:H6)</f>
        <v/>
      </c>
      <c r="I7" s="17">
        <f>IF(H7-G7=0,0,F7/(H7-G7))</f>
        <v/>
      </c>
    </row>
    <row r="9">
      <c r="A9" s="18" t="inlineStr">
        <is>
          <t>Tamamlanma % = Tamamlandı / (Toplam − İptal)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2026-09-26T10:24:17Z</dcterms:created>
  <dcterms:modified xsi:type="dcterms:W3CDTF">2026-09-26T10:34:02Z</dcterms:modified>
</cp:coreProperties>
</file>